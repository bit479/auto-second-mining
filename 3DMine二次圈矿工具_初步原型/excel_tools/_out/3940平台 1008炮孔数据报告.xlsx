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4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11"/>
    </font>
    <font>
      <name val="等线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.55" customWidth="1" min="1" max="1"/>
    <col width="9" customWidth="1" min="2" max="2"/>
    <col width="12" customWidth="1" min="3" max="3"/>
    <col width="12" customWidth="1" min="4" max="4"/>
    <col width="18.55" customWidth="1" min="5" max="5"/>
    <col width="18.55" customWidth="1" min="6" max="6"/>
  </cols>
  <sheetData>
    <row r="1">
      <c r="A1" s="1" t="inlineStr">
        <is>
          <t>北部山头3940平台1008炮孔数据报告</t>
        </is>
      </c>
      <c r="B1" s="2" t="n"/>
      <c r="C1" s="2" t="n"/>
      <c r="D1" s="2" t="n"/>
      <c r="E1" s="2" t="n"/>
      <c r="F1" s="2" t="n"/>
    </row>
    <row r="2">
      <c r="A2" s="3" t="inlineStr">
        <is>
          <t>类型</t>
        </is>
      </c>
      <c r="B2" s="3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3" t="inlineStr">
        <is>
          <t>1.500-3.000</t>
        </is>
      </c>
      <c r="B3" s="3" t="n">
        <v>1</v>
      </c>
      <c r="C3" s="3" t="n">
        <v>515.29</v>
      </c>
      <c r="D3" s="3" t="n">
        <v>1391.282</v>
      </c>
      <c r="E3" s="4" t="n">
        <v>2.16</v>
      </c>
      <c r="F3" s="3" t="n">
        <v>30.052</v>
      </c>
    </row>
    <row r="4">
      <c r="A4" s="3" t="inlineStr">
        <is>
          <t>小计</t>
        </is>
      </c>
      <c r="B4" s="3" t="inlineStr"/>
      <c r="C4" s="3">
        <f>C3</f>
        <v/>
      </c>
      <c r="D4" s="3">
        <f>D3</f>
        <v/>
      </c>
      <c r="E4" s="4">
        <f>F4/D4*100</f>
        <v/>
      </c>
      <c r="F4" s="3">
        <f>F3</f>
        <v/>
      </c>
    </row>
    <row r="5">
      <c r="A5" s="3" t="inlineStr">
        <is>
          <t>1.000-1.500</t>
        </is>
      </c>
      <c r="B5" s="3" t="n">
        <v>2</v>
      </c>
      <c r="C5" s="3" t="n">
        <v>445.042</v>
      </c>
      <c r="D5" s="3" t="n">
        <v>1201.614</v>
      </c>
      <c r="E5" s="4" t="n">
        <v>1.44</v>
      </c>
      <c r="F5" s="3" t="n">
        <v>17.303</v>
      </c>
    </row>
    <row r="6">
      <c r="A6" s="3" t="inlineStr">
        <is>
          <t>小计</t>
        </is>
      </c>
      <c r="B6" s="3" t="inlineStr"/>
      <c r="C6" s="3">
        <f>C5</f>
        <v/>
      </c>
      <c r="D6" s="3">
        <f>D5</f>
        <v/>
      </c>
      <c r="E6" s="4">
        <f>F6/D6*100</f>
        <v/>
      </c>
      <c r="F6" s="3">
        <f>F5</f>
        <v/>
      </c>
    </row>
    <row r="7">
      <c r="A7" s="3" t="inlineStr">
        <is>
          <t>0.500-1.000</t>
        </is>
      </c>
      <c r="B7" s="3" t="n">
        <v>1</v>
      </c>
      <c r="C7" s="3" t="n">
        <v>1229.228</v>
      </c>
      <c r="D7" s="3" t="n">
        <v>3318.915</v>
      </c>
      <c r="E7" s="4" t="n">
        <v>0.65</v>
      </c>
      <c r="F7" s="3" t="n">
        <v>21.557</v>
      </c>
    </row>
    <row r="8">
      <c r="A8" s="3" t="inlineStr">
        <is>
          <t>0.500-1.000</t>
        </is>
      </c>
      <c r="B8" s="3" t="n">
        <v>1</v>
      </c>
      <c r="C8" s="3" t="n">
        <v>714.095</v>
      </c>
      <c r="D8" s="3" t="n">
        <v>1928.056</v>
      </c>
      <c r="E8" s="4" t="n">
        <v>0.68</v>
      </c>
      <c r="F8" s="3" t="n">
        <v>13.111</v>
      </c>
    </row>
    <row r="9">
      <c r="A9" s="3" t="inlineStr">
        <is>
          <t>小计</t>
        </is>
      </c>
      <c r="B9" s="3" t="inlineStr"/>
      <c r="C9" s="3">
        <f>C7+C8</f>
        <v/>
      </c>
      <c r="D9" s="3">
        <f>D7+D8</f>
        <v/>
      </c>
      <c r="E9" s="4">
        <f>F9/D9*100</f>
        <v/>
      </c>
      <c r="F9" s="3">
        <f>F7+F8</f>
        <v/>
      </c>
    </row>
    <row r="10">
      <c r="A10" s="3" t="inlineStr">
        <is>
          <t>合计</t>
        </is>
      </c>
      <c r="B10" s="3" t="inlineStr"/>
      <c r="C10" s="3">
        <f>C4+C6+C9</f>
        <v/>
      </c>
      <c r="D10" s="3">
        <f>D4+D6+D9</f>
        <v/>
      </c>
      <c r="E10" s="4">
        <f>F10/D10*100</f>
        <v/>
      </c>
      <c r="F10" s="3">
        <f>F4+F6+F9</f>
        <v/>
      </c>
    </row>
    <row r="11">
      <c r="A11" s="5" t="inlineStr"/>
      <c r="B11" s="5" t="inlineStr"/>
      <c r="C11" s="5" t="inlineStr"/>
      <c r="D11" s="5" t="inlineStr"/>
      <c r="E11" s="6" t="inlineStr"/>
      <c r="F11" s="5" t="inlineStr"/>
    </row>
    <row r="12">
      <c r="A12" s="5" t="inlineStr"/>
      <c r="B12" s="5" t="inlineStr"/>
      <c r="C12" s="5" t="inlineStr"/>
      <c r="D12" s="5" t="inlineStr"/>
      <c r="E12" s="6" t="inlineStr"/>
      <c r="F12" s="5" t="inlineStr"/>
    </row>
    <row r="13">
      <c r="A13" s="5" t="inlineStr"/>
      <c r="B13" s="5" t="inlineStr"/>
      <c r="C13" s="5" t="inlineStr"/>
      <c r="D13" s="5" t="inlineStr"/>
      <c r="E13" s="6" t="inlineStr"/>
      <c r="F13" s="5" t="inlineStr"/>
    </row>
    <row r="14">
      <c r="A14" s="5" t="inlineStr"/>
      <c r="B14" s="5" t="inlineStr"/>
      <c r="C14" s="5" t="inlineStr"/>
      <c r="D14" s="5" t="inlineStr"/>
      <c r="E14" s="6" t="inlineStr"/>
      <c r="F14" s="5" t="inlineStr"/>
    </row>
    <row r="15">
      <c r="A15" s="5" t="inlineStr"/>
      <c r="B15" s="5" t="inlineStr"/>
      <c r="C15" s="5" t="inlineStr"/>
      <c r="D15" s="5" t="inlineStr"/>
      <c r="E15" s="6" t="inlineStr"/>
      <c r="F15" s="5" t="inlineStr"/>
    </row>
    <row r="16">
      <c r="A16" s="5" t="inlineStr"/>
      <c r="B16" s="5" t="inlineStr"/>
      <c r="C16" s="5" t="inlineStr"/>
      <c r="D16" s="5" t="inlineStr"/>
      <c r="E16" s="6" t="inlineStr"/>
      <c r="F16" s="5" t="inlineStr"/>
    </row>
    <row r="17">
      <c r="A17" s="5" t="inlineStr"/>
      <c r="B17" s="5" t="inlineStr"/>
      <c r="C17" s="5" t="inlineStr"/>
      <c r="D17" s="5" t="inlineStr"/>
      <c r="E17" s="6" t="inlineStr"/>
      <c r="F17" s="5" t="inlineStr"/>
    </row>
    <row r="18">
      <c r="A18" s="5" t="inlineStr"/>
      <c r="B18" s="5" t="inlineStr"/>
      <c r="C18" s="5" t="inlineStr"/>
      <c r="D18" s="5" t="inlineStr"/>
      <c r="E18" s="6" t="inlineStr"/>
      <c r="F18" s="5" t="inlineStr"/>
    </row>
    <row r="19">
      <c r="A19" s="7" t="inlineStr">
        <is>
          <t>3DMine 炮孔数据库报告</t>
        </is>
      </c>
      <c r="B19" s="7" t="inlineStr"/>
      <c r="C19" s="7" t="inlineStr"/>
      <c r="D19" s="7" t="inlineStr"/>
      <c r="E19" s="8" t="inlineStr"/>
      <c r="F19" s="7" t="inlineStr"/>
    </row>
    <row r="20">
      <c r="A20" s="5" t="inlineStr">
        <is>
          <t>类型</t>
        </is>
      </c>
      <c r="B20" s="5" t="inlineStr">
        <is>
          <t>体号</t>
        </is>
      </c>
      <c r="C20" s="5" t="inlineStr">
        <is>
          <t>体积</t>
        </is>
      </c>
      <c r="D20" s="5" t="inlineStr">
        <is>
          <t>重量</t>
        </is>
      </c>
      <c r="E20" s="6" t="inlineStr">
        <is>
          <t>平均品位(Au)</t>
        </is>
      </c>
      <c r="F20" s="5" t="inlineStr">
        <is>
          <t>金属量</t>
        </is>
      </c>
    </row>
    <row r="21">
      <c r="A21" s="5" t="inlineStr">
        <is>
          <t>0.500-1.000</t>
        </is>
      </c>
      <c r="B21" s="5" t="n">
        <v>1</v>
      </c>
      <c r="C21" s="5" t="n">
        <v>1229.228</v>
      </c>
      <c r="D21" s="5" t="n">
        <v>3318.915</v>
      </c>
      <c r="E21" s="6" t="n">
        <v>0.65</v>
      </c>
      <c r="F21" s="5" t="n">
        <v>21.557</v>
      </c>
    </row>
    <row r="22">
      <c r="A22" s="5" t="inlineStr">
        <is>
          <t>小计</t>
        </is>
      </c>
      <c r="B22" s="5" t="inlineStr"/>
      <c r="C22" s="5" t="n">
        <v>1229.228</v>
      </c>
      <c r="D22" s="5" t="n">
        <v>3318.915</v>
      </c>
      <c r="E22" s="6" t="inlineStr"/>
      <c r="F22" s="5" t="n">
        <v>21.557</v>
      </c>
    </row>
    <row r="23">
      <c r="A23" s="5" t="inlineStr"/>
      <c r="B23" s="5" t="inlineStr"/>
      <c r="C23" s="5" t="inlineStr"/>
      <c r="D23" s="5" t="inlineStr"/>
      <c r="E23" s="6" t="inlineStr"/>
      <c r="F23" s="5" t="inlineStr"/>
    </row>
    <row r="24">
      <c r="A24" s="7" t="inlineStr">
        <is>
          <t>3DMine 炮孔数据库报告</t>
        </is>
      </c>
      <c r="B24" s="7" t="inlineStr"/>
      <c r="C24" s="7" t="inlineStr"/>
      <c r="D24" s="7" t="inlineStr"/>
      <c r="E24" s="8" t="inlineStr"/>
      <c r="F24" s="7" t="inlineStr"/>
    </row>
    <row r="25">
      <c r="A25" s="5" t="inlineStr">
        <is>
          <t>类型</t>
        </is>
      </c>
      <c r="B25" s="5" t="inlineStr">
        <is>
          <t>体号</t>
        </is>
      </c>
      <c r="C25" s="5" t="inlineStr">
        <is>
          <t>体积</t>
        </is>
      </c>
      <c r="D25" s="5" t="inlineStr">
        <is>
          <t>重量</t>
        </is>
      </c>
      <c r="E25" s="6" t="inlineStr">
        <is>
          <t>平均品位(Au)</t>
        </is>
      </c>
      <c r="F25" s="5" t="inlineStr">
        <is>
          <t>金属量</t>
        </is>
      </c>
    </row>
    <row r="26">
      <c r="A26" s="5" t="inlineStr">
        <is>
          <t>1.500-3.000</t>
        </is>
      </c>
      <c r="B26" s="5" t="n">
        <v>1</v>
      </c>
      <c r="C26" s="5" t="n">
        <v>515.29</v>
      </c>
      <c r="D26" s="5" t="n">
        <v>1391.282</v>
      </c>
      <c r="E26" s="6" t="n">
        <v>2.16</v>
      </c>
      <c r="F26" s="5" t="n">
        <v>30.052</v>
      </c>
    </row>
    <row r="27">
      <c r="A27" s="5" t="inlineStr">
        <is>
          <t>小计</t>
        </is>
      </c>
      <c r="B27" s="5" t="inlineStr"/>
      <c r="C27" s="5" t="n">
        <v>515.29</v>
      </c>
      <c r="D27" s="5" t="n">
        <v>1391.282</v>
      </c>
      <c r="E27" s="6" t="inlineStr"/>
      <c r="F27" s="5" t="n">
        <v>30.052</v>
      </c>
    </row>
    <row r="28">
      <c r="A28" s="5" t="inlineStr">
        <is>
          <t>1.000-1.500</t>
        </is>
      </c>
      <c r="B28" s="5" t="n">
        <v>2</v>
      </c>
      <c r="C28" s="5" t="n">
        <v>445.042</v>
      </c>
      <c r="D28" s="5" t="n">
        <v>1201.614</v>
      </c>
      <c r="E28" s="6" t="n">
        <v>1.44</v>
      </c>
      <c r="F28" s="5" t="n">
        <v>17.303</v>
      </c>
    </row>
    <row r="29">
      <c r="A29" s="5" t="inlineStr">
        <is>
          <t>小计</t>
        </is>
      </c>
      <c r="B29" s="5" t="inlineStr"/>
      <c r="C29" s="5" t="n">
        <v>445.042</v>
      </c>
      <c r="D29" s="5" t="n">
        <v>1201.614</v>
      </c>
      <c r="E29" s="6" t="inlineStr"/>
      <c r="F29" s="5" t="n">
        <v>17.303</v>
      </c>
    </row>
    <row r="30">
      <c r="A30" s="5" t="inlineStr"/>
      <c r="B30" s="5" t="inlineStr"/>
      <c r="C30" s="5" t="inlineStr"/>
      <c r="D30" s="5" t="inlineStr"/>
      <c r="E30" s="6" t="inlineStr"/>
      <c r="F30" s="5" t="inlineStr"/>
    </row>
    <row r="31">
      <c r="A31" s="7" t="inlineStr">
        <is>
          <t>3DMine 炮孔数据库报告</t>
        </is>
      </c>
      <c r="B31" s="7" t="inlineStr"/>
      <c r="C31" s="7" t="inlineStr"/>
      <c r="D31" s="7" t="inlineStr"/>
      <c r="E31" s="8" t="inlineStr"/>
      <c r="F31" s="7" t="inlineStr"/>
    </row>
    <row r="32">
      <c r="A32" s="5" t="inlineStr">
        <is>
          <t>类型</t>
        </is>
      </c>
      <c r="B32" s="5" t="inlineStr">
        <is>
          <t>体号</t>
        </is>
      </c>
      <c r="C32" s="5" t="inlineStr">
        <is>
          <t>体积</t>
        </is>
      </c>
      <c r="D32" s="5" t="inlineStr">
        <is>
          <t>重量</t>
        </is>
      </c>
      <c r="E32" s="6" t="inlineStr">
        <is>
          <t>平均品位(Au)</t>
        </is>
      </c>
      <c r="F32" s="5" t="inlineStr">
        <is>
          <t>金属量</t>
        </is>
      </c>
    </row>
    <row r="33">
      <c r="A33" s="5" t="inlineStr">
        <is>
          <t>0.500-1.000</t>
        </is>
      </c>
      <c r="B33" s="5" t="n">
        <v>1</v>
      </c>
      <c r="C33" s="5" t="n">
        <v>714.095</v>
      </c>
      <c r="D33" s="5" t="n">
        <v>1928.056</v>
      </c>
      <c r="E33" s="6" t="n">
        <v>0.68</v>
      </c>
      <c r="F33" s="5" t="n">
        <v>13.111</v>
      </c>
    </row>
    <row r="34">
      <c r="A34" s="5" t="inlineStr">
        <is>
          <t>小计</t>
        </is>
      </c>
      <c r="B34" s="5" t="inlineStr"/>
      <c r="C34" s="5" t="n">
        <v>714.095</v>
      </c>
      <c r="D34" s="5" t="n">
        <v>1928.056</v>
      </c>
      <c r="E34" s="6" t="inlineStr"/>
      <c r="F34" s="5" t="n">
        <v>13.111</v>
      </c>
    </row>
    <row r="35">
      <c r="A35" s="5" t="inlineStr"/>
      <c r="B35" s="5" t="inlineStr"/>
      <c r="C35" s="5" t="inlineStr"/>
      <c r="D35" s="5" t="inlineStr"/>
      <c r="E35" s="6" t="inlineStr"/>
      <c r="F35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2026-10-15T13:49:55Z</dcterms:created>
  <dcterms:modified xmlns:dcterms="http://purl.org/dc/terms/" xmlns:xsi="http://www.w3.org/2001/XMLSchema-instance" xsi:type="dcterms:W3CDTF">2026-10-15T13:49:55Z</dcterms:modified>
</cp:coreProperties>
</file>