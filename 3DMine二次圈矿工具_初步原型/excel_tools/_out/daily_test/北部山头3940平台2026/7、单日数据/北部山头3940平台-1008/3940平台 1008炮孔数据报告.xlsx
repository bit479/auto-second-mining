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地质生产数据\北部山头2026\北部山头3940平台2026\7、单日数据\北部山头3940平台-1008\"/>
    </mc:Choice>
  </mc:AlternateContent>
  <xr:revisionPtr revIDLastSave="0" documentId="13_ncr:1_{B29C8042-BB14-42D0-8F42-863B18EEB8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5" i="1"/>
  <c r="C8" i="1"/>
  <c r="D5" i="1"/>
  <c r="F5" i="1"/>
  <c r="D8" i="1"/>
  <c r="F8" i="1"/>
  <c r="E8" i="1" s="1"/>
</calcChain>
</file>

<file path=xl/sharedStrings.xml><?xml version="1.0" encoding="utf-8"?>
<sst xmlns="http://schemas.openxmlformats.org/spreadsheetml/2006/main" count="40" uniqueCount="13">
  <si>
    <t>类型</t>
  </si>
  <si>
    <t>体号</t>
  </si>
  <si>
    <t>体积</t>
  </si>
  <si>
    <t>重量</t>
  </si>
  <si>
    <t>平均品位(Au)</t>
  </si>
  <si>
    <t>金属量（百克）</t>
  </si>
  <si>
    <t>合计</t>
    <phoneticPr fontId="6" type="noConversion"/>
  </si>
  <si>
    <t>3DMine 炮孔数据库报告</t>
  </si>
  <si>
    <t>金属量</t>
  </si>
  <si>
    <t>0.500-1.000</t>
  </si>
  <si>
    <t>小计</t>
  </si>
  <si>
    <t>1.000-1.500</t>
  </si>
  <si>
    <t>3940平台 1008炮孔数据报告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</si>
</sst>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0.00_);[Red]\(0.00\)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181" fontId="1" fillId="0" borderId="0" xfId="3" applyNumberFormat="1" applyAlignment="1">
      <alignment horizontal="center" vertical="center"/>
    </xf>
    <xf numFmtId="181" fontId="3" fillId="0" borderId="1" xfId="1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/>
    </xf>
    <xf numFmtId="181" fontId="1" fillId="0" borderId="0" xfId="3" applyNumberFormat="1">
      <alignment vertical="center"/>
    </xf>
    <xf numFmtId="0" fontId="1" fillId="0" borderId="1" xfId="3" applyBorder="1" applyAlignment="1">
      <alignment horizontal="center" vertical="center"/>
    </xf>
    <xf numFmtId="181" fontId="1" fillId="0" borderId="1" xfId="3" applyNumberFormat="1" applyBorder="1" applyAlignment="1">
      <alignment horizontal="center" vertical="center"/>
    </xf>
    <xf numFmtId="0" fontId="1" fillId="0" borderId="1" xfId="3" applyBorder="1">
      <alignment vertical="center"/>
    </xf>
  </cellXfs>
  <cellStyles count="4">
    <cellStyle name="常规" xfId="0" builtinId="0"/>
    <cellStyle name="常规 2" xfId="1" xr:uid="{87B3DC8D-AE58-4296-981C-376E155953A1}"/>
    <cellStyle name="常规 3" xfId="2" xr:uid="{9C8E2409-B83F-4B25-BA1B-671D2B8DC17C}"/>
    <cellStyle name="常规 4" xfId="3" xr:uid="{98588913-F768-4389-9116-1390C09048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G9" sqref="G9"/>
    </sheetView>
  </sheetViews>
  <sheetFormatPr defaultColWidth="18.5546875" defaultRowHeight="13.8" x14ac:dyDescent="0.25"/>
  <cols>
    <col min="1" max="4" width="18.5546875" style="1"/>
    <col min="5" max="5" width="18.5546875" style="22"/>
    <col min="6" max="16384" width="18.5546875" style="1"/>
  </cols>
  <sheetData>
    <row r="1" spans="1:8" x14ac:dyDescent="0.25">
      <c r="A1" s="8" t="s">
        <v>12</v>
      </c>
      <c r="B1" s="9"/>
      <c r="C1" s="9"/>
      <c r="D1" s="9"/>
      <c r="E1" s="10"/>
      <c r="F1" s="9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15" t="s">
        <v>4</v>
      </c>
      <c r="F2" s="3" t="s">
        <v>5</v>
      </c>
    </row>
    <row r="3" spans="1:8" x14ac:dyDescent="0.25">
      <c r="A3" s="25" t="s">
        <v>9</v>
      </c>
      <c r="B3" s="25">
        <v>1</v>
      </c>
      <c r="C3" s="25">
        <v>714.09500000000003</v>
      </c>
      <c r="D3" s="25">
        <v>1928.056</v>
      </c>
      <c r="E3" s="26">
        <v>0.68</v>
      </c>
      <c r="F3" s="25">
        <v>13.111000000000001</v>
      </c>
    </row>
    <row r="4" spans="1:8" x14ac:dyDescent="0.25">
      <c r="A4" s="25" t="s">
        <v>9</v>
      </c>
      <c r="B4" s="25">
        <v>2</v>
      </c>
      <c r="C4" s="25">
        <v>1327.5219999999999</v>
      </c>
      <c r="D4" s="25">
        <v>3584.3110000000001</v>
      </c>
      <c r="E4" s="26">
        <v>0.72899999999999998</v>
      </c>
      <c r="F4" s="25">
        <v>26.134</v>
      </c>
    </row>
    <row r="5" spans="1:8" x14ac:dyDescent="0.25">
      <c r="A5" s="25" t="s">
        <v>10</v>
      </c>
      <c r="B5" s="27"/>
      <c r="C5" s="25">
        <f>C3+C4</f>
        <v>2041.617</v>
      </c>
      <c r="D5" s="25">
        <f t="shared" ref="D5:F5" si="0">D3+D4</f>
        <v>5512.3670000000002</v>
      </c>
      <c r="E5" s="26">
        <f>F5/D5*100</f>
        <v>0.71194461471814208</v>
      </c>
      <c r="F5" s="25">
        <f t="shared" si="0"/>
        <v>39.245000000000005</v>
      </c>
      <c r="G5" s="7"/>
    </row>
    <row r="6" spans="1:8" x14ac:dyDescent="0.25">
      <c r="A6" s="25" t="s">
        <v>11</v>
      </c>
      <c r="B6" s="25">
        <v>3</v>
      </c>
      <c r="C6" s="25">
        <v>1909.877</v>
      </c>
      <c r="D6" s="25">
        <v>5156.6679999999997</v>
      </c>
      <c r="E6" s="26">
        <v>1.204</v>
      </c>
      <c r="F6" s="25">
        <v>62.103999999999999</v>
      </c>
    </row>
    <row r="7" spans="1:8" x14ac:dyDescent="0.25">
      <c r="A7" s="25" t="s">
        <v>10</v>
      </c>
      <c r="B7" s="27"/>
      <c r="C7" s="25">
        <v>1909.877</v>
      </c>
      <c r="D7" s="25">
        <v>5156.6679999999997</v>
      </c>
      <c r="E7" s="26">
        <v>1.204</v>
      </c>
      <c r="F7" s="25">
        <v>62.103999999999999</v>
      </c>
    </row>
    <row r="8" spans="1:8" x14ac:dyDescent="0.25">
      <c r="A8" s="6" t="s">
        <v>6</v>
      </c>
      <c r="B8" s="6"/>
      <c r="C8" s="6">
        <f>C5+C7</f>
        <v>3951.4939999999997</v>
      </c>
      <c r="D8" s="6">
        <f t="shared" ref="D8:F8" si="1">D5+D7</f>
        <v>10669.035</v>
      </c>
      <c r="E8" s="21">
        <f>F8/D8*100</f>
        <v>0.94993595953148535</v>
      </c>
      <c r="F8" s="6">
        <f t="shared" si="1"/>
        <v>101.349</v>
      </c>
      <c r="G8" s="5"/>
      <c r="H8" s="5"/>
    </row>
    <row r="9" spans="1:8" x14ac:dyDescent="0.25">
      <c r="G9" s="5"/>
      <c r="H9" s="5"/>
    </row>
    <row r="10" spans="1:8" x14ac:dyDescent="0.25">
      <c r="A10" s="4"/>
      <c r="B10" s="4"/>
      <c r="C10" s="4"/>
      <c r="D10" s="4"/>
      <c r="E10" s="23"/>
      <c r="F10" s="4"/>
      <c r="G10" s="5"/>
      <c r="H10" s="5"/>
    </row>
    <row r="11" spans="1:8" x14ac:dyDescent="0.25">
      <c r="A11" s="4"/>
      <c r="B11" s="4"/>
      <c r="C11" s="4"/>
      <c r="D11" s="4"/>
      <c r="E11" s="23"/>
      <c r="F11" s="4"/>
    </row>
    <row r="12" spans="1:8" x14ac:dyDescent="0.25">
      <c r="A12" s="4"/>
      <c r="B12" s="4"/>
      <c r="C12" s="4"/>
      <c r="D12" s="4"/>
      <c r="E12" s="23"/>
      <c r="F12" s="4"/>
    </row>
    <row r="13" spans="1:8" x14ac:dyDescent="0.25">
      <c r="A13" s="4"/>
      <c r="B13" s="4"/>
      <c r="C13" s="4"/>
      <c r="D13" s="4"/>
      <c r="E13" s="23"/>
      <c r="F13" s="4"/>
    </row>
    <row r="14" spans="1:8" x14ac:dyDescent="0.25">
      <c r="B14" s="4"/>
    </row>
    <row r="15" spans="1:8" x14ac:dyDescent="0.25">
      <c r="A15" s="4"/>
      <c r="B15" s="4"/>
      <c r="C15" s="4"/>
      <c r="D15" s="4"/>
      <c r="E15" s="23"/>
      <c r="F15" s="4"/>
    </row>
    <row r="16" spans="1:8" x14ac:dyDescent="0.25">
      <c r="A16" s="4"/>
      <c r="B16" s="4"/>
      <c r="C16" s="4"/>
      <c r="D16" s="4"/>
      <c r="E16" s="23"/>
      <c r="F16" s="4"/>
    </row>
    <row r="17" spans="1:6" x14ac:dyDescent="0.25">
      <c r="B17" s="4"/>
    </row>
    <row r="20" spans="1:6" x14ac:dyDescent="0.25">
      <c r="A20" s="13" t="s">
        <v>7</v>
      </c>
      <c r="B20" s="14"/>
      <c r="C20" s="14"/>
      <c r="D20" s="14"/>
      <c r="E20" s="14"/>
      <c r="F20" s="14"/>
    </row>
    <row r="21" spans="1:6" x14ac:dyDescent="0.25">
      <c r="A21" s="12" t="s">
        <v>0</v>
      </c>
      <c r="B21" s="12" t="s">
        <v>1</v>
      </c>
      <c r="C21" s="12" t="s">
        <v>2</v>
      </c>
      <c r="D21" s="12" t="s">
        <v>3</v>
      </c>
      <c r="E21" s="20" t="s">
        <v>4</v>
      </c>
      <c r="F21" s="12" t="s">
        <v>8</v>
      </c>
    </row>
    <row r="22" spans="1:6" x14ac:dyDescent="0.25">
      <c r="A22" s="12" t="s">
        <v>9</v>
      </c>
      <c r="B22" s="12">
        <v>1</v>
      </c>
      <c r="C22" s="12">
        <v>714.09500000000003</v>
      </c>
      <c r="D22" s="12">
        <v>1928.056</v>
      </c>
      <c r="E22" s="20">
        <v>0.68</v>
      </c>
      <c r="F22" s="12">
        <v>13.111000000000001</v>
      </c>
    </row>
    <row r="23" spans="1:6" x14ac:dyDescent="0.25">
      <c r="A23" s="12" t="s">
        <v>10</v>
      </c>
      <c r="B23" s="11"/>
      <c r="C23" s="12">
        <v>714.09500000000003</v>
      </c>
      <c r="D23" s="12">
        <v>1928.056</v>
      </c>
      <c r="E23" s="24"/>
      <c r="F23" s="12">
        <v>13.111000000000001</v>
      </c>
    </row>
    <row r="25" spans="1:6" x14ac:dyDescent="0.25">
      <c r="A25" s="13" t="s">
        <v>7</v>
      </c>
      <c r="B25" s="14"/>
      <c r="C25" s="14"/>
      <c r="D25" s="14"/>
      <c r="E25" s="14"/>
      <c r="F25" s="14"/>
    </row>
    <row r="26" spans="1:6" x14ac:dyDescent="0.25">
      <c r="A26" s="17" t="s">
        <v>0</v>
      </c>
      <c r="B26" s="17" t="s">
        <v>1</v>
      </c>
      <c r="C26" s="17" t="s">
        <v>2</v>
      </c>
      <c r="D26" s="17" t="s">
        <v>3</v>
      </c>
      <c r="E26" s="20" t="s">
        <v>4</v>
      </c>
      <c r="F26" s="17" t="s">
        <v>8</v>
      </c>
    </row>
    <row r="27" spans="1:6" x14ac:dyDescent="0.25">
      <c r="A27" s="17" t="s">
        <v>9</v>
      </c>
      <c r="B27" s="17">
        <v>1</v>
      </c>
      <c r="C27" s="17">
        <v>1327.5219999999999</v>
      </c>
      <c r="D27" s="17">
        <v>3584.3110000000001</v>
      </c>
      <c r="E27" s="20">
        <v>0.72899999999999998</v>
      </c>
      <c r="F27" s="17">
        <v>26.134</v>
      </c>
    </row>
    <row r="28" spans="1:6" x14ac:dyDescent="0.25">
      <c r="A28" s="17" t="s">
        <v>10</v>
      </c>
      <c r="B28" s="16"/>
      <c r="C28" s="17">
        <v>1327.5219999999999</v>
      </c>
      <c r="D28" s="17">
        <v>3584.3110000000001</v>
      </c>
      <c r="E28" s="24"/>
      <c r="F28" s="17">
        <v>26.134</v>
      </c>
    </row>
    <row r="30" spans="1:6" x14ac:dyDescent="0.25">
      <c r="A30" s="13" t="s">
        <v>7</v>
      </c>
      <c r="B30" s="14"/>
      <c r="C30" s="14"/>
      <c r="D30" s="14"/>
      <c r="E30" s="14"/>
      <c r="F30" s="14"/>
    </row>
    <row r="31" spans="1:6" x14ac:dyDescent="0.25">
      <c r="A31" s="19" t="s">
        <v>0</v>
      </c>
      <c r="B31" s="19" t="s">
        <v>1</v>
      </c>
      <c r="C31" s="19" t="s">
        <v>2</v>
      </c>
      <c r="D31" s="19" t="s">
        <v>3</v>
      </c>
      <c r="E31" s="20" t="s">
        <v>4</v>
      </c>
      <c r="F31" s="19" t="s">
        <v>8</v>
      </c>
    </row>
    <row r="32" spans="1:6" x14ac:dyDescent="0.25">
      <c r="A32" s="19" t="s">
        <v>11</v>
      </c>
      <c r="B32" s="19">
        <v>1</v>
      </c>
      <c r="C32" s="19">
        <v>1909.877</v>
      </c>
      <c r="D32" s="19">
        <v>5156.6679999999997</v>
      </c>
      <c r="E32" s="20">
        <v>1.204</v>
      </c>
      <c r="F32" s="19">
        <v>62.103999999999999</v>
      </c>
    </row>
    <row r="33" spans="1:6" x14ac:dyDescent="0.25">
      <c r="A33" s="19" t="s">
        <v>10</v>
      </c>
      <c r="B33" s="18"/>
      <c r="C33" s="19">
        <v>1909.877</v>
      </c>
      <c r="D33" s="19">
        <v>5156.6679999999997</v>
      </c>
      <c r="E33" s="24"/>
      <c r="F33" s="19">
        <v>62.103999999999999</v>
      </c>
    </row>
  </sheetData>
  <mergeCells count="4">
    <mergeCell ref="A1:F1"/>
    <mergeCell ref="A20:F20"/>
    <mergeCell ref="A25:F25"/>
    <mergeCell ref="A30:F30"/>
  </mergeCells>
  <phoneticPr fontId="6" type="noConversion"/>
  <pageMargins left="0.7" right="0.7" top="0.75" bottom="0.75" header="0.3" footer="0.3"/>
  <ignoredErrors>
    <ignoredError sqref="A10:F17 G11:H20 G8:H9 G1:H3 G6: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2026-10-09T08:51:54Z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