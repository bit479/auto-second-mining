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<sst xmlns="http://schemas.openxmlformats.org/spreadsheetml/2006/main" count="137" uniqueCount="22">
  <si>
    <t>3960平台 0825炮孔数据报告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</si>
  <si>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</si>
  <si>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</si>
  <si>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</si>
  <si>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</si>
  <si>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</si>
  <si>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</si>
  <si>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</si>
  <si>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</si>
  <si>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</si>
  <si>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</si>
  <si>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</si>
  <si>
    <t>3960平台 0830炮孔数据报告</t>
  </si>
  <si>
    <t>3.000-999.000</t>
  </si>
  <si>
    <t>3960平台 0902炮孔数据报告</t>
  </si>
  <si>
    <t>3960平台 0904炮孔数据报告</t>
  </si>
  <si>
    <t>3960平台 0908炮孔数据报告</t>
  </si>
  <si>
    <t>3960平台 0914炮孔数据报告</t>
  </si>
  <si>
    <t>北部山头3960平台 0919炮孔数据报告</t>
  </si>
  <si>
    <t>北部山头3960平台 0922炮孔数据报告</t>
  </si>
  <si>
    <t>北部山头3960平台 0922-2炮孔数据报告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</si>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</sst>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176" fontId="0" fillId="0" borderId="1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topLeftCell="A76" workbookViewId="0">
      <selection activeCell="G89" sqref="G89"/>
    </sheetView>
  </sheetViews>
  <sheetFormatPr defaultColWidth="18.5833333333333" defaultRowHeight="13.8" outlineLevelCol="5"/>
  <cols>
    <col min="1" max="1" width="21" customWidth="1"/>
  </cols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619.648</v>
      </c>
      <c r="D3" s="4">
        <v>1673.051</v>
      </c>
      <c r="E3" s="5">
        <v>2.181</v>
      </c>
      <c r="F3" s="4">
        <v>36.497</v>
      </c>
    </row>
    <row r="4" spans="1:6">
      <c r="A4" s="4" t="s">
        <v>7</v>
      </c>
      <c r="B4" s="4">
        <v>2</v>
      </c>
      <c r="C4" s="4">
        <v>1056.458</v>
      </c>
      <c r="D4" s="4">
        <v>2852.438</v>
      </c>
      <c r="E4" s="5">
        <v>1.658</v>
      </c>
      <c r="F4" s="4">
        <v>47.303</v>
      </c>
    </row>
    <row r="5" spans="1:6">
      <c r="A5" s="4" t="s">
        <v>8</v>
      </c>
      <c r="B5" s="4"/>
      <c r="C5" s="4">
        <f t="shared" ref="C5:F5" si="0">SUM(C3:C4)</f>
        <v>1676.106</v>
      </c>
      <c r="D5" s="4">
        <f t="shared" si="0"/>
        <v>4525.489</v>
      </c>
      <c r="E5" s="5">
        <f>F5/D5*100</f>
        <v>1.85173359166269</v>
      </c>
      <c r="F5" s="4">
        <f t="shared" si="0"/>
        <v>83.8</v>
      </c>
    </row>
    <row r="6" spans="1:6">
      <c r="A6" s="4" t="s">
        <v>9</v>
      </c>
      <c r="B6" s="4">
        <v>3</v>
      </c>
      <c r="C6" s="4">
        <v>1246.336</v>
      </c>
      <c r="D6" s="4">
        <v>3365.106</v>
      </c>
      <c r="E6" s="5">
        <v>1.498</v>
      </c>
      <c r="F6" s="4">
        <v>50.418</v>
      </c>
    </row>
    <row r="7" spans="1:6">
      <c r="A7" s="4" t="s">
        <v>9</v>
      </c>
      <c r="B7" s="4">
        <v>4</v>
      </c>
      <c r="C7" s="4">
        <v>374.419</v>
      </c>
      <c r="D7" s="4">
        <v>1010.93</v>
      </c>
      <c r="E7" s="5">
        <v>1.201</v>
      </c>
      <c r="F7" s="4">
        <v>12.145</v>
      </c>
    </row>
    <row r="8" spans="1:6">
      <c r="A8" s="4" t="s">
        <v>9</v>
      </c>
      <c r="B8" s="4">
        <v>5</v>
      </c>
      <c r="C8" s="4">
        <v>832.82</v>
      </c>
      <c r="D8" s="4">
        <v>2248.615</v>
      </c>
      <c r="E8" s="5">
        <v>1.161</v>
      </c>
      <c r="F8" s="4">
        <v>26.117</v>
      </c>
    </row>
    <row r="9" spans="1:6">
      <c r="A9" s="4" t="s">
        <v>8</v>
      </c>
      <c r="B9" s="4"/>
      <c r="C9" s="4">
        <f t="shared" ref="C9:F9" si="1">SUM(C6:C8)</f>
        <v>2453.575</v>
      </c>
      <c r="D9" s="4">
        <f t="shared" si="1"/>
        <v>6624.651</v>
      </c>
      <c r="E9" s="5">
        <f>F9/D9*100</f>
        <v>1.33863655609933</v>
      </c>
      <c r="F9" s="4">
        <f t="shared" si="1"/>
        <v>88.68</v>
      </c>
    </row>
    <row r="10" spans="1:6">
      <c r="A10" s="4" t="s">
        <v>10</v>
      </c>
      <c r="B10" s="4">
        <v>6</v>
      </c>
      <c r="C10" s="4">
        <v>2234.481</v>
      </c>
      <c r="D10" s="4">
        <v>6033.099</v>
      </c>
      <c r="E10" s="5">
        <v>0.818</v>
      </c>
      <c r="F10" s="4">
        <v>49.353</v>
      </c>
    </row>
    <row r="11" spans="1:6">
      <c r="A11" s="4" t="s">
        <v>10</v>
      </c>
      <c r="B11" s="4">
        <v>7</v>
      </c>
      <c r="C11" s="4">
        <v>2831.873</v>
      </c>
      <c r="D11" s="4">
        <v>7646.058</v>
      </c>
      <c r="E11" s="5">
        <v>0.744</v>
      </c>
      <c r="F11" s="4">
        <v>56.855</v>
      </c>
    </row>
    <row r="12" spans="1:6">
      <c r="A12" s="4" t="s">
        <v>10</v>
      </c>
      <c r="B12" s="4">
        <v>8</v>
      </c>
      <c r="C12" s="4">
        <v>136.077</v>
      </c>
      <c r="D12" s="4">
        <v>367.407</v>
      </c>
      <c r="E12" s="5">
        <v>0.84</v>
      </c>
      <c r="F12" s="4">
        <v>3.086</v>
      </c>
    </row>
    <row r="13" spans="1:6">
      <c r="A13" s="4" t="s">
        <v>10</v>
      </c>
      <c r="B13" s="4">
        <v>9</v>
      </c>
      <c r="C13" s="4">
        <v>647.378</v>
      </c>
      <c r="D13" s="4">
        <v>1747.92</v>
      </c>
      <c r="E13" s="5">
        <v>0.865</v>
      </c>
      <c r="F13" s="4">
        <v>15.126</v>
      </c>
    </row>
    <row r="14" spans="1:6">
      <c r="A14" s="4" t="s">
        <v>8</v>
      </c>
      <c r="B14" s="4"/>
      <c r="C14" s="4">
        <f t="shared" ref="C14:F14" si="2">SUM(C10:C13)</f>
        <v>5849.809</v>
      </c>
      <c r="D14" s="4">
        <f t="shared" si="2"/>
        <v>15794.484</v>
      </c>
      <c r="E14" s="5">
        <f>F14/D14*100</f>
        <v>0.787743366608241</v>
      </c>
      <c r="F14" s="4">
        <f t="shared" si="2"/>
        <v>124.42</v>
      </c>
    </row>
    <row r="15" spans="1:6">
      <c r="A15" s="4" t="s">
        <v>11</v>
      </c>
      <c r="B15" s="4"/>
      <c r="C15" s="4">
        <f t="shared" ref="C15:F15" si="3">C5+C9+C14</f>
        <v>9979.49</v>
      </c>
      <c r="D15" s="4">
        <f t="shared" si="3"/>
        <v>26944.624</v>
      </c>
      <c r="E15" s="5">
        <f>F15/D15*100</f>
        <v>1.10188956431532</v>
      </c>
      <c r="F15" s="4">
        <f t="shared" si="3"/>
        <v>296.9</v>
      </c>
    </row>
    <row r="16" spans="1:6">
      <c r="A16" s="6"/>
      <c r="B16" s="6"/>
      <c r="C16" s="6"/>
      <c r="D16" s="6"/>
      <c r="E16" s="7"/>
      <c r="F16" s="6"/>
    </row>
    <row r="18" spans="1:6">
      <c r="A18" s="1" t="s">
        <v>12</v>
      </c>
      <c r="B18" s="2"/>
      <c r="C18" s="2"/>
      <c r="D18" s="2"/>
      <c r="E18" s="2"/>
      <c r="F18" s="3"/>
    </row>
    <row r="19" spans="1:6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</row>
    <row r="20" spans="1:6">
      <c r="A20" s="4" t="s">
        <v>13</v>
      </c>
      <c r="B20" s="4">
        <v>1</v>
      </c>
      <c r="C20" s="4">
        <v>104.533</v>
      </c>
      <c r="D20" s="4">
        <v>282.239</v>
      </c>
      <c r="E20" s="5">
        <v>3.21</v>
      </c>
      <c r="F20" s="4">
        <v>9.06</v>
      </c>
    </row>
    <row r="21" spans="1:6">
      <c r="A21" s="4" t="s">
        <v>8</v>
      </c>
      <c r="B21" s="4"/>
      <c r="C21" s="4">
        <f t="shared" ref="C21:F21" si="4">SUM(C20:C20)</f>
        <v>104.533</v>
      </c>
      <c r="D21" s="4">
        <f t="shared" si="4"/>
        <v>282.239</v>
      </c>
      <c r="E21" s="5">
        <f t="shared" ref="E21:E26" si="5">F21/D21*100</f>
        <v>3.21004538706557</v>
      </c>
      <c r="F21" s="4">
        <f t="shared" si="4"/>
        <v>9.06</v>
      </c>
    </row>
    <row r="22" spans="1:6">
      <c r="A22" s="4" t="s">
        <v>7</v>
      </c>
      <c r="B22" s="4">
        <v>2</v>
      </c>
      <c r="C22" s="4">
        <v>444.73</v>
      </c>
      <c r="D22" s="4">
        <v>1200.771</v>
      </c>
      <c r="E22" s="5">
        <v>2.228</v>
      </c>
      <c r="F22" s="4">
        <v>26.759</v>
      </c>
    </row>
    <row r="23" spans="1:6">
      <c r="A23" s="4" t="s">
        <v>8</v>
      </c>
      <c r="B23" s="4"/>
      <c r="C23" s="4">
        <f t="shared" ref="C23:F23" si="6">SUM(C22:C22)</f>
        <v>444.73</v>
      </c>
      <c r="D23" s="4">
        <f t="shared" si="6"/>
        <v>1200.771</v>
      </c>
      <c r="E23" s="5">
        <f t="shared" si="5"/>
        <v>2.22848486514081</v>
      </c>
      <c r="F23" s="4">
        <f t="shared" si="6"/>
        <v>26.759</v>
      </c>
    </row>
    <row r="24" spans="1:6">
      <c r="A24" s="4" t="s">
        <v>9</v>
      </c>
      <c r="B24" s="4">
        <v>3</v>
      </c>
      <c r="C24" s="4">
        <v>1457.411</v>
      </c>
      <c r="D24" s="4">
        <v>3935.008</v>
      </c>
      <c r="E24" s="5">
        <v>1.28</v>
      </c>
      <c r="F24" s="4">
        <v>50.381</v>
      </c>
    </row>
    <row r="25" spans="1:6">
      <c r="A25" s="4" t="s">
        <v>9</v>
      </c>
      <c r="B25" s="4">
        <v>4</v>
      </c>
      <c r="C25" s="4">
        <v>323.662</v>
      </c>
      <c r="D25" s="4">
        <v>873.888</v>
      </c>
      <c r="E25" s="5">
        <v>1.457</v>
      </c>
      <c r="F25" s="4">
        <v>12.729</v>
      </c>
    </row>
    <row r="26" spans="1:6">
      <c r="A26" s="4" t="s">
        <v>8</v>
      </c>
      <c r="B26" s="4"/>
      <c r="C26" s="4">
        <f t="shared" ref="C26:F26" si="7">SUM(C24:C25)</f>
        <v>1781.073</v>
      </c>
      <c r="D26" s="4">
        <f t="shared" si="7"/>
        <v>4808.896</v>
      </c>
      <c r="E26" s="5">
        <f t="shared" si="5"/>
        <v>1.31235942719493</v>
      </c>
      <c r="F26" s="4">
        <f t="shared" si="7"/>
        <v>63.11</v>
      </c>
    </row>
    <row r="27" spans="1:6">
      <c r="A27" s="4" t="s">
        <v>10</v>
      </c>
      <c r="B27" s="4">
        <v>5</v>
      </c>
      <c r="C27" s="4">
        <v>463.113</v>
      </c>
      <c r="D27" s="4">
        <v>1250.406</v>
      </c>
      <c r="E27" s="5">
        <v>0.666</v>
      </c>
      <c r="F27" s="4">
        <v>8.327</v>
      </c>
    </row>
    <row r="28" spans="1:6">
      <c r="A28" s="4" t="s">
        <v>10</v>
      </c>
      <c r="B28" s="4">
        <v>6</v>
      </c>
      <c r="C28" s="4">
        <v>3827.497</v>
      </c>
      <c r="D28" s="4">
        <v>10334.241</v>
      </c>
      <c r="E28" s="5">
        <v>0.732</v>
      </c>
      <c r="F28" s="4">
        <v>75.6</v>
      </c>
    </row>
    <row r="29" spans="1:6">
      <c r="A29" s="4" t="s">
        <v>10</v>
      </c>
      <c r="B29" s="4">
        <v>7</v>
      </c>
      <c r="C29" s="4">
        <v>179.489</v>
      </c>
      <c r="D29" s="4">
        <v>484.621</v>
      </c>
      <c r="E29" s="5">
        <v>0.7</v>
      </c>
      <c r="F29" s="4">
        <v>3.392</v>
      </c>
    </row>
    <row r="30" spans="1:6">
      <c r="A30" s="4" t="s">
        <v>8</v>
      </c>
      <c r="B30" s="4"/>
      <c r="C30" s="4">
        <f t="shared" ref="C30:F30" si="8">SUM(C27:C29)</f>
        <v>4470.099</v>
      </c>
      <c r="D30" s="4">
        <f t="shared" si="8"/>
        <v>12069.268</v>
      </c>
      <c r="E30" s="5">
        <f>F30/D30*100</f>
        <v>0.723482153184435</v>
      </c>
      <c r="F30" s="4">
        <f t="shared" si="8"/>
        <v>87.319</v>
      </c>
    </row>
    <row r="31" spans="1:6">
      <c r="A31" s="4" t="s">
        <v>11</v>
      </c>
      <c r="B31" s="4"/>
      <c r="C31" s="4">
        <f t="shared" ref="C31:F31" si="9">C21+C23+C26+C30</f>
        <v>6800.435</v>
      </c>
      <c r="D31" s="4">
        <f t="shared" si="9"/>
        <v>18361.174</v>
      </c>
      <c r="E31" s="5">
        <f>F31/D31*100</f>
        <v>1.01435779651127</v>
      </c>
      <c r="F31" s="4">
        <f t="shared" si="9"/>
        <v>186.248</v>
      </c>
    </row>
    <row r="33" spans="1:6">
      <c r="A33" s="1" t="s">
        <v>14</v>
      </c>
      <c r="B33" s="4"/>
      <c r="C33" s="4"/>
      <c r="D33" s="4"/>
      <c r="E33" s="4"/>
      <c r="F33" s="4"/>
    </row>
    <row r="34" spans="1:6">
      <c r="A34" s="4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</row>
    <row r="35" spans="1:6">
      <c r="A35" s="4" t="s">
        <v>10</v>
      </c>
      <c r="B35" s="4">
        <v>1</v>
      </c>
      <c r="C35" s="4">
        <v>191.533</v>
      </c>
      <c r="D35" s="4">
        <v>517.14</v>
      </c>
      <c r="E35" s="4">
        <v>0.726</v>
      </c>
      <c r="F35" s="4">
        <v>3.756</v>
      </c>
    </row>
    <row r="36" spans="1:6">
      <c r="A36" s="4" t="s">
        <v>8</v>
      </c>
      <c r="B36" s="8"/>
      <c r="C36" s="4">
        <v>191.533</v>
      </c>
      <c r="D36" s="4">
        <v>517.14</v>
      </c>
      <c r="E36" s="4">
        <v>0.726</v>
      </c>
      <c r="F36" s="4">
        <v>3.756</v>
      </c>
    </row>
    <row r="37" spans="1:6">
      <c r="A37" s="4" t="s">
        <v>11</v>
      </c>
      <c r="B37" s="8"/>
      <c r="C37" s="4">
        <v>191.533</v>
      </c>
      <c r="D37" s="4">
        <v>517.14</v>
      </c>
      <c r="E37" s="4">
        <v>0.726</v>
      </c>
      <c r="F37" s="4">
        <v>3.756</v>
      </c>
    </row>
    <row r="39" spans="1:6">
      <c r="A39" s="1" t="s">
        <v>15</v>
      </c>
      <c r="B39" s="2"/>
      <c r="C39" s="2"/>
      <c r="D39" s="2"/>
      <c r="E39" s="2"/>
      <c r="F39" s="3"/>
    </row>
    <row r="40" spans="1:6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</row>
    <row r="41" spans="1:6">
      <c r="A41" s="4" t="s">
        <v>9</v>
      </c>
      <c r="B41" s="4">
        <v>1</v>
      </c>
      <c r="C41" s="4">
        <v>519.391</v>
      </c>
      <c r="D41" s="4">
        <v>1402.357</v>
      </c>
      <c r="E41" s="5">
        <v>1.332</v>
      </c>
      <c r="F41" s="4">
        <v>18.673</v>
      </c>
    </row>
    <row r="42" spans="1:6">
      <c r="A42" s="4" t="s">
        <v>8</v>
      </c>
      <c r="B42" s="4"/>
      <c r="C42" s="4">
        <f t="shared" ref="C42:F42" si="10">SUM(C41:C41)</f>
        <v>519.391</v>
      </c>
      <c r="D42" s="4">
        <f t="shared" si="10"/>
        <v>1402.357</v>
      </c>
      <c r="E42" s="5">
        <f>F42/D42*100</f>
        <v>1.3315439649105</v>
      </c>
      <c r="F42" s="4">
        <f t="shared" si="10"/>
        <v>18.673</v>
      </c>
    </row>
    <row r="43" spans="1:6">
      <c r="A43" s="4" t="s">
        <v>10</v>
      </c>
      <c r="B43" s="4">
        <v>2</v>
      </c>
      <c r="C43" s="4">
        <v>259.761</v>
      </c>
      <c r="D43" s="4">
        <v>701.356</v>
      </c>
      <c r="E43" s="5">
        <v>0.748</v>
      </c>
      <c r="F43" s="4">
        <v>5.246</v>
      </c>
    </row>
    <row r="44" spans="1:6">
      <c r="A44" s="4" t="s">
        <v>10</v>
      </c>
      <c r="B44" s="4">
        <v>3</v>
      </c>
      <c r="C44" s="4">
        <v>278.689</v>
      </c>
      <c r="D44" s="4">
        <v>752.461</v>
      </c>
      <c r="E44" s="5">
        <v>0.608</v>
      </c>
      <c r="F44" s="4">
        <v>4.574</v>
      </c>
    </row>
    <row r="45" spans="1:6">
      <c r="A45" s="4" t="s">
        <v>10</v>
      </c>
      <c r="B45" s="4">
        <v>4</v>
      </c>
      <c r="C45" s="4">
        <v>224.141</v>
      </c>
      <c r="D45" s="4">
        <v>605.182</v>
      </c>
      <c r="E45" s="5">
        <v>0.7</v>
      </c>
      <c r="F45" s="4">
        <v>4.236</v>
      </c>
    </row>
    <row r="46" spans="1:6">
      <c r="A46" s="4" t="s">
        <v>10</v>
      </c>
      <c r="B46" s="4">
        <v>5</v>
      </c>
      <c r="C46" s="4">
        <v>869.765</v>
      </c>
      <c r="D46" s="4">
        <v>2348.365</v>
      </c>
      <c r="E46" s="5">
        <v>0.828</v>
      </c>
      <c r="F46" s="4">
        <v>19.435</v>
      </c>
    </row>
    <row r="47" spans="1:6">
      <c r="A47" s="4" t="s">
        <v>8</v>
      </c>
      <c r="B47" s="4"/>
      <c r="C47" s="4">
        <f t="shared" ref="C47:F47" si="11">SUM(C43:C46)</f>
        <v>1632.356</v>
      </c>
      <c r="D47" s="4">
        <f t="shared" si="11"/>
        <v>4407.364</v>
      </c>
      <c r="E47" s="5">
        <f>F47/D47*100</f>
        <v>0.759887315864993</v>
      </c>
      <c r="F47" s="4">
        <f t="shared" si="11"/>
        <v>33.491</v>
      </c>
    </row>
    <row r="48" spans="1:6">
      <c r="A48" s="4" t="s">
        <v>11</v>
      </c>
      <c r="B48" s="4"/>
      <c r="C48" s="4">
        <f t="shared" ref="C48:F48" si="12">C42+C47</f>
        <v>2151.747</v>
      </c>
      <c r="D48" s="4">
        <f t="shared" si="12"/>
        <v>5809.721</v>
      </c>
      <c r="E48" s="5">
        <f>F48/D48*100</f>
        <v>0.897874441819151</v>
      </c>
      <c r="F48" s="4">
        <f t="shared" si="12"/>
        <v>52.164</v>
      </c>
    </row>
    <row r="50" spans="1:6">
      <c r="A50" s="1" t="s">
        <v>16</v>
      </c>
      <c r="B50" s="2"/>
      <c r="C50" s="2"/>
      <c r="D50" s="2"/>
      <c r="E50" s="2"/>
      <c r="F50" s="3"/>
    </row>
    <row r="51" spans="1:6">
      <c r="A51" s="4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</row>
    <row r="52" spans="1:6">
      <c r="A52" s="4" t="s">
        <v>7</v>
      </c>
      <c r="B52" s="4">
        <v>1</v>
      </c>
      <c r="C52" s="4">
        <v>433.883</v>
      </c>
      <c r="D52" s="4">
        <v>1171.483</v>
      </c>
      <c r="E52" s="5">
        <v>1.684</v>
      </c>
      <c r="F52" s="4">
        <v>19.732</v>
      </c>
    </row>
    <row r="53" spans="1:6">
      <c r="A53" s="4" t="s">
        <v>7</v>
      </c>
      <c r="B53" s="4">
        <v>2</v>
      </c>
      <c r="C53" s="4">
        <v>519.993</v>
      </c>
      <c r="D53" s="4">
        <v>1403.981</v>
      </c>
      <c r="E53" s="5">
        <v>1.789</v>
      </c>
      <c r="F53" s="4">
        <v>25.117</v>
      </c>
    </row>
    <row r="54" spans="1:6">
      <c r="A54" s="4" t="s">
        <v>8</v>
      </c>
      <c r="B54" s="4"/>
      <c r="C54" s="4">
        <f t="shared" ref="C54:F54" si="13">SUM(C52:C53)</f>
        <v>953.876</v>
      </c>
      <c r="D54" s="4">
        <f t="shared" si="13"/>
        <v>2575.464</v>
      </c>
      <c r="E54" s="5">
        <f>F54/D54*100</f>
        <v>1.74139494863838</v>
      </c>
      <c r="F54" s="4">
        <f t="shared" si="13"/>
        <v>44.849</v>
      </c>
    </row>
    <row r="55" spans="1:6">
      <c r="A55" s="4" t="s">
        <v>9</v>
      </c>
      <c r="B55" s="4">
        <v>3</v>
      </c>
      <c r="C55" s="4">
        <v>413.474</v>
      </c>
      <c r="D55" s="4">
        <v>1116.381</v>
      </c>
      <c r="E55" s="5">
        <v>1.228</v>
      </c>
      <c r="F55" s="4">
        <v>13.71</v>
      </c>
    </row>
    <row r="56" spans="1:6">
      <c r="A56" s="4" t="s">
        <v>9</v>
      </c>
      <c r="B56" s="4">
        <v>4</v>
      </c>
      <c r="C56" s="4">
        <v>1232.977</v>
      </c>
      <c r="D56" s="4">
        <v>3329.038</v>
      </c>
      <c r="E56" s="5">
        <v>1.355</v>
      </c>
      <c r="F56" s="4">
        <v>45.121</v>
      </c>
    </row>
    <row r="57" spans="1:6">
      <c r="A57" s="4" t="s">
        <v>8</v>
      </c>
      <c r="B57" s="4"/>
      <c r="C57" s="4">
        <f t="shared" ref="C57:F57" si="14">SUM(C55:C56)</f>
        <v>1646.451</v>
      </c>
      <c r="D57" s="4">
        <f t="shared" si="14"/>
        <v>4445.419</v>
      </c>
      <c r="E57" s="5">
        <f>F57/D57*100</f>
        <v>1.32340730986213</v>
      </c>
      <c r="F57" s="4">
        <f t="shared" si="14"/>
        <v>58.831</v>
      </c>
    </row>
    <row r="58" spans="1:6">
      <c r="A58" s="4" t="s">
        <v>10</v>
      </c>
      <c r="B58" s="4">
        <v>5</v>
      </c>
      <c r="C58" s="4">
        <v>204.97</v>
      </c>
      <c r="D58" s="4">
        <v>553.418</v>
      </c>
      <c r="E58" s="5">
        <v>0.65</v>
      </c>
      <c r="F58" s="4">
        <v>3.597</v>
      </c>
    </row>
    <row r="59" spans="1:6">
      <c r="A59" s="4" t="s">
        <v>10</v>
      </c>
      <c r="B59" s="4">
        <v>6</v>
      </c>
      <c r="C59" s="4">
        <v>272.072</v>
      </c>
      <c r="D59" s="4">
        <v>734.594</v>
      </c>
      <c r="E59" s="5">
        <v>0.5</v>
      </c>
      <c r="F59" s="4">
        <v>3.673</v>
      </c>
    </row>
    <row r="60" spans="1:6">
      <c r="A60" s="4" t="s">
        <v>10</v>
      </c>
      <c r="B60" s="4">
        <v>7</v>
      </c>
      <c r="C60" s="4">
        <v>2941.751</v>
      </c>
      <c r="D60" s="4">
        <v>7942.729</v>
      </c>
      <c r="E60" s="5">
        <v>0.939</v>
      </c>
      <c r="F60" s="4">
        <v>74.552</v>
      </c>
    </row>
    <row r="61" spans="1:6">
      <c r="A61" s="4" t="s">
        <v>10</v>
      </c>
      <c r="B61" s="4">
        <v>8</v>
      </c>
      <c r="C61" s="4">
        <v>124.475</v>
      </c>
      <c r="D61" s="4">
        <v>336.082</v>
      </c>
      <c r="E61" s="5">
        <v>0.52</v>
      </c>
      <c r="F61" s="4">
        <v>1.748</v>
      </c>
    </row>
    <row r="62" spans="1:6">
      <c r="A62" s="4" t="s">
        <v>10</v>
      </c>
      <c r="B62" s="4">
        <v>9</v>
      </c>
      <c r="C62" s="4">
        <v>434.5</v>
      </c>
      <c r="D62" s="4">
        <v>1173.149</v>
      </c>
      <c r="E62" s="5">
        <v>0.803</v>
      </c>
      <c r="F62" s="4">
        <v>9.423</v>
      </c>
    </row>
    <row r="63" spans="1:6">
      <c r="A63" s="4" t="s">
        <v>10</v>
      </c>
      <c r="B63" s="4">
        <v>10</v>
      </c>
      <c r="C63" s="4">
        <v>208.485</v>
      </c>
      <c r="D63" s="4">
        <v>562.91</v>
      </c>
      <c r="E63" s="5">
        <v>0.57</v>
      </c>
      <c r="F63" s="4">
        <v>3.209</v>
      </c>
    </row>
    <row r="64" spans="1:6">
      <c r="A64" s="4" t="s">
        <v>8</v>
      </c>
      <c r="B64" s="4"/>
      <c r="C64" s="4">
        <f t="shared" ref="C64:F64" si="15">SUM(C58:C63)</f>
        <v>4186.253</v>
      </c>
      <c r="D64" s="4">
        <f t="shared" si="15"/>
        <v>11302.882</v>
      </c>
      <c r="E64" s="5">
        <f>F64/D64*100</f>
        <v>0.851128057428185</v>
      </c>
      <c r="F64" s="4">
        <f t="shared" si="15"/>
        <v>96.202</v>
      </c>
    </row>
    <row r="65" spans="1:6">
      <c r="A65" s="4" t="s">
        <v>11</v>
      </c>
      <c r="B65" s="4"/>
      <c r="C65" s="4">
        <f t="shared" ref="C65:F65" si="16">C54+C57+C64</f>
        <v>6786.58</v>
      </c>
      <c r="D65" s="4">
        <f t="shared" si="16"/>
        <v>18323.765</v>
      </c>
      <c r="E65" s="5">
        <f>F65/D65*100</f>
        <v>1.09083477112919</v>
      </c>
      <c r="F65" s="4">
        <f t="shared" si="16"/>
        <v>199.882</v>
      </c>
    </row>
    <row r="67" spans="1:6">
      <c r="A67" s="1" t="s">
        <v>17</v>
      </c>
      <c r="B67" s="2"/>
      <c r="C67" s="2"/>
      <c r="D67" s="2"/>
      <c r="E67" s="2"/>
      <c r="F67" s="3"/>
    </row>
    <row r="68" spans="1:6">
      <c r="A68" s="4" t="s">
        <v>1</v>
      </c>
      <c r="B68" s="4" t="s">
        <v>2</v>
      </c>
      <c r="C68" s="4" t="s">
        <v>3</v>
      </c>
      <c r="D68" s="4" t="s">
        <v>4</v>
      </c>
      <c r="E68" s="4" t="s">
        <v>5</v>
      </c>
      <c r="F68" s="4" t="s">
        <v>6</v>
      </c>
    </row>
    <row r="69" spans="1:6">
      <c r="A69" s="4" t="s">
        <v>7</v>
      </c>
      <c r="B69" s="4">
        <v>1</v>
      </c>
      <c r="C69" s="4">
        <v>140.314</v>
      </c>
      <c r="D69" s="4">
        <v>378.847</v>
      </c>
      <c r="E69" s="5">
        <v>1.7</v>
      </c>
      <c r="F69" s="4">
        <v>6.44</v>
      </c>
    </row>
    <row r="70" spans="1:6">
      <c r="A70" s="4" t="s">
        <v>7</v>
      </c>
      <c r="B70" s="4">
        <v>2</v>
      </c>
      <c r="C70" s="4">
        <v>410.837</v>
      </c>
      <c r="D70" s="4">
        <v>1109.259</v>
      </c>
      <c r="E70" s="5">
        <v>1.56</v>
      </c>
      <c r="F70" s="4">
        <v>17.306</v>
      </c>
    </row>
    <row r="71" spans="1:6">
      <c r="A71" s="4" t="s">
        <v>7</v>
      </c>
      <c r="B71" s="4">
        <v>3</v>
      </c>
      <c r="C71" s="4">
        <v>946.838</v>
      </c>
      <c r="D71" s="4">
        <v>2556.461</v>
      </c>
      <c r="E71" s="5">
        <v>1.527</v>
      </c>
      <c r="F71" s="4">
        <v>39.04</v>
      </c>
    </row>
    <row r="72" spans="1:6">
      <c r="A72" s="4" t="s">
        <v>8</v>
      </c>
      <c r="B72" s="4"/>
      <c r="C72" s="4">
        <f t="shared" ref="C72:F72" si="17">SUM(C69:C71)</f>
        <v>1497.989</v>
      </c>
      <c r="D72" s="4">
        <f t="shared" si="17"/>
        <v>4044.567</v>
      </c>
      <c r="E72" s="5">
        <f>F72/D72*100</f>
        <v>1.55235405916134</v>
      </c>
      <c r="F72" s="4">
        <f t="shared" si="17"/>
        <v>62.786</v>
      </c>
    </row>
    <row r="73" spans="1:6">
      <c r="A73" s="4" t="s">
        <v>9</v>
      </c>
      <c r="B73" s="4">
        <v>4</v>
      </c>
      <c r="C73" s="4">
        <v>946.931</v>
      </c>
      <c r="D73" s="4">
        <v>2556.712</v>
      </c>
      <c r="E73" s="5">
        <v>1.459</v>
      </c>
      <c r="F73" s="4">
        <v>37.291</v>
      </c>
    </row>
    <row r="74" spans="1:6">
      <c r="A74" s="4" t="s">
        <v>9</v>
      </c>
      <c r="B74" s="4">
        <v>5</v>
      </c>
      <c r="C74" s="4">
        <v>1200.859</v>
      </c>
      <c r="D74" s="4">
        <v>3242.32</v>
      </c>
      <c r="E74" s="5">
        <v>1.129</v>
      </c>
      <c r="F74" s="4">
        <v>36.604</v>
      </c>
    </row>
    <row r="75" spans="1:6">
      <c r="A75" s="4" t="s">
        <v>8</v>
      </c>
      <c r="B75" s="4"/>
      <c r="C75" s="4">
        <f t="shared" ref="C75:F75" si="18">SUM(C73:C74)</f>
        <v>2147.79</v>
      </c>
      <c r="D75" s="4">
        <f t="shared" si="18"/>
        <v>5799.032</v>
      </c>
      <c r="E75" s="5">
        <f t="shared" ref="E75:E80" si="19">F75/D75*100</f>
        <v>1.27426439447135</v>
      </c>
      <c r="F75" s="4">
        <f t="shared" si="18"/>
        <v>73.895</v>
      </c>
    </row>
    <row r="76" spans="1:6">
      <c r="A76" s="4" t="s">
        <v>10</v>
      </c>
      <c r="B76" s="4">
        <v>6</v>
      </c>
      <c r="C76" s="4">
        <v>2011.304</v>
      </c>
      <c r="D76" s="4">
        <v>5430.52</v>
      </c>
      <c r="E76" s="5">
        <v>0.737</v>
      </c>
      <c r="F76" s="4">
        <v>40.044</v>
      </c>
    </row>
    <row r="77" spans="1:6">
      <c r="A77" s="4" t="s">
        <v>10</v>
      </c>
      <c r="B77" s="4">
        <v>7</v>
      </c>
      <c r="C77" s="4">
        <v>2535.757</v>
      </c>
      <c r="D77" s="4">
        <v>6846.545</v>
      </c>
      <c r="E77" s="5">
        <v>0.822</v>
      </c>
      <c r="F77" s="4">
        <v>56.245</v>
      </c>
    </row>
    <row r="78" spans="1:6">
      <c r="A78" s="4" t="s">
        <v>10</v>
      </c>
      <c r="B78" s="4">
        <v>8</v>
      </c>
      <c r="C78" s="4">
        <v>206.287</v>
      </c>
      <c r="D78" s="4">
        <v>556.974</v>
      </c>
      <c r="E78" s="5">
        <v>0.88</v>
      </c>
      <c r="F78" s="4">
        <v>4.901</v>
      </c>
    </row>
    <row r="79" spans="1:6">
      <c r="A79" s="4" t="s">
        <v>8</v>
      </c>
      <c r="B79" s="4"/>
      <c r="C79" s="4">
        <f t="shared" ref="C79:F79" si="20">SUM(C76:C78)</f>
        <v>4753.348</v>
      </c>
      <c r="D79" s="4">
        <f t="shared" si="20"/>
        <v>12834.039</v>
      </c>
      <c r="E79" s="5">
        <f t="shared" si="19"/>
        <v>0.78845015197476</v>
      </c>
      <c r="F79" s="4">
        <f t="shared" si="20"/>
        <v>101.19</v>
      </c>
    </row>
    <row r="80" spans="1:6">
      <c r="A80" s="4" t="s">
        <v>11</v>
      </c>
      <c r="B80" s="4"/>
      <c r="C80" s="4">
        <f t="shared" ref="C80:F80" si="21">C72+C75+C79</f>
        <v>8399.127</v>
      </c>
      <c r="D80" s="4">
        <f t="shared" si="21"/>
        <v>22677.638</v>
      </c>
      <c r="E80" s="5">
        <f t="shared" si="19"/>
        <v>1.04892317268668</v>
      </c>
      <c r="F80" s="4">
        <f t="shared" si="21"/>
        <v>237.871</v>
      </c>
    </row>
    <row r="83" spans="1:6">
      <c r="A83" s="1" t="s">
        <v>18</v>
      </c>
      <c r="B83" s="2"/>
      <c r="C83" s="2"/>
      <c r="D83" s="2"/>
      <c r="E83" s="2"/>
      <c r="F83" s="3"/>
    </row>
    <row r="84" spans="1:6">
      <c r="A84" s="4" t="s">
        <v>1</v>
      </c>
      <c r="B84" s="4" t="s">
        <v>2</v>
      </c>
      <c r="C84" s="4" t="s">
        <v>3</v>
      </c>
      <c r="D84" s="4" t="s">
        <v>4</v>
      </c>
      <c r="E84" s="4" t="s">
        <v>5</v>
      </c>
      <c r="F84" s="4" t="s">
        <v>6</v>
      </c>
    </row>
    <row r="85" spans="1:6">
      <c r="A85" s="4" t="s">
        <v>10</v>
      </c>
      <c r="B85" s="4">
        <v>1</v>
      </c>
      <c r="C85" s="4">
        <v>4120.382</v>
      </c>
      <c r="D85" s="4">
        <v>11091.198</v>
      </c>
      <c r="E85" s="5">
        <v>0.828215310915917</v>
      </c>
      <c r="F85" s="4">
        <v>91.859</v>
      </c>
    </row>
    <row r="86" spans="1:6">
      <c r="A86" s="4" t="s">
        <v>8</v>
      </c>
      <c r="B86" s="4"/>
      <c r="C86" s="4">
        <f t="shared" ref="C86:F86" si="22">SUM(C85:C85)</f>
        <v>4120.382</v>
      </c>
      <c r="D86" s="4">
        <f t="shared" si="22"/>
        <v>11091.198</v>
      </c>
      <c r="E86" s="5">
        <f>F86/D86*100</f>
        <v>0.828215310915917</v>
      </c>
      <c r="F86" s="4">
        <f t="shared" si="22"/>
        <v>91.859</v>
      </c>
    </row>
    <row r="89" spans="1:6">
      <c r="A89" s="1" t="s">
        <v>19</v>
      </c>
      <c r="B89" s="2"/>
      <c r="C89" s="2"/>
      <c r="D89" s="2"/>
      <c r="E89" s="2"/>
      <c r="F89" s="3"/>
    </row>
    <row r="90" spans="1:6">
      <c r="A90" s="4" t="s">
        <v>1</v>
      </c>
      <c r="B90" s="4" t="s">
        <v>2</v>
      </c>
      <c r="C90" s="4" t="s">
        <v>3</v>
      </c>
      <c r="D90" s="4" t="s">
        <v>4</v>
      </c>
      <c r="E90" s="4" t="s">
        <v>5</v>
      </c>
      <c r="F90" s="4" t="s">
        <v>6</v>
      </c>
    </row>
    <row r="91" spans="1:6">
      <c r="A91" s="4" t="s">
        <v>10</v>
      </c>
      <c r="B91" s="4">
        <v>1</v>
      </c>
      <c r="C91" s="4">
        <v>3978.993</v>
      </c>
      <c r="D91" s="4">
        <v>10689.414</v>
      </c>
      <c r="E91" s="5">
        <v>0.804253628870582</v>
      </c>
      <c r="F91" s="4">
        <v>85.97</v>
      </c>
    </row>
    <row r="92" spans="1:6">
      <c r="A92" s="4" t="s">
        <v>8</v>
      </c>
      <c r="B92" s="4"/>
      <c r="C92" s="4">
        <f t="shared" ref="C92:F92" si="23">SUM(C91:C91)</f>
        <v>3978.993</v>
      </c>
      <c r="D92" s="4">
        <f t="shared" si="23"/>
        <v>10689.414</v>
      </c>
      <c r="E92" s="5">
        <f>F92/D92*100</f>
        <v>0.804253628870582</v>
      </c>
      <c r="F92" s="4">
        <f t="shared" si="23"/>
        <v>85.97</v>
      </c>
    </row>
    <row r="94" spans="1:6">
      <c r="A94" s="1" t="s">
        <v>20</v>
      </c>
      <c r="B94" s="9"/>
      <c r="C94" s="9"/>
      <c r="D94" s="9"/>
      <c r="E94" s="10"/>
      <c r="F94" s="9"/>
    </row>
    <row r="95" spans="1:6">
      <c r="A95" s="4" t="s">
        <v>1</v>
      </c>
      <c r="B95" s="4" t="s">
        <v>2</v>
      </c>
      <c r="C95" s="4" t="s">
        <v>3</v>
      </c>
      <c r="D95" s="4" t="s">
        <v>4</v>
      </c>
      <c r="E95" s="11" t="s">
        <v>5</v>
      </c>
      <c r="F95" s="4" t="s">
        <v>6</v>
      </c>
    </row>
    <row r="96" spans="1:6">
      <c r="A96" s="12" t="s">
        <v>7</v>
      </c>
      <c r="B96" s="12">
        <v>1</v>
      </c>
      <c r="C96" s="12">
        <v>606.56</v>
      </c>
      <c r="D96" s="12">
        <v>1637.713</v>
      </c>
      <c r="E96" s="13">
        <v>1.617</v>
      </c>
      <c r="F96" s="12">
        <v>26.49</v>
      </c>
    </row>
    <row r="97" spans="1:6">
      <c r="A97" s="4" t="s">
        <v>8</v>
      </c>
      <c r="B97" s="4"/>
      <c r="C97" s="4">
        <f t="shared" ref="C97:F97" si="24">SUM(C96:C96)</f>
        <v>606.56</v>
      </c>
      <c r="D97" s="4">
        <f t="shared" si="24"/>
        <v>1637.713</v>
      </c>
      <c r="E97" s="11">
        <f>F97/D97*100</f>
        <v>1.61749952525259</v>
      </c>
      <c r="F97" s="4">
        <f t="shared" si="24"/>
        <v>26.49</v>
      </c>
    </row>
    <row r="98" spans="1:6">
      <c r="A98" s="12" t="s">
        <v>9</v>
      </c>
      <c r="B98" s="14">
        <v>2</v>
      </c>
      <c r="C98" s="14">
        <v>2082.745</v>
      </c>
      <c r="D98" s="14">
        <v>5623.411</v>
      </c>
      <c r="E98" s="15">
        <v>1.40893134078231</v>
      </c>
      <c r="F98" s="14">
        <v>79.23</v>
      </c>
    </row>
    <row r="99" spans="1:6">
      <c r="A99" s="4" t="s">
        <v>8</v>
      </c>
      <c r="B99" s="16"/>
      <c r="C99" s="14">
        <v>2082.745</v>
      </c>
      <c r="D99" s="14">
        <v>5623.411</v>
      </c>
      <c r="E99" s="15">
        <v>1.40893134078231</v>
      </c>
      <c r="F99" s="14">
        <v>79.23</v>
      </c>
    </row>
    <row r="100" spans="1:6">
      <c r="A100" s="12" t="s">
        <v>10</v>
      </c>
      <c r="B100" s="12">
        <v>3</v>
      </c>
      <c r="C100" s="12">
        <v>1497.875</v>
      </c>
      <c r="D100" s="12">
        <v>4044.262</v>
      </c>
      <c r="E100" s="13">
        <v>0.715</v>
      </c>
      <c r="F100" s="12">
        <v>28.911</v>
      </c>
    </row>
    <row r="101" spans="1:6">
      <c r="A101" s="12" t="s">
        <v>10</v>
      </c>
      <c r="B101" s="12">
        <v>4</v>
      </c>
      <c r="C101" s="12">
        <v>2659.746</v>
      </c>
      <c r="D101" s="12">
        <v>7148.172</v>
      </c>
      <c r="E101" s="13">
        <v>0.874391382859842</v>
      </c>
      <c r="F101" s="12">
        <v>62.503</v>
      </c>
    </row>
    <row r="102" spans="1:6">
      <c r="A102" s="4" t="s">
        <v>8</v>
      </c>
      <c r="B102" s="12"/>
      <c r="C102" s="12">
        <f t="shared" ref="C102:F102" si="25">SUM(C100:C101)</f>
        <v>4157.621</v>
      </c>
      <c r="D102" s="12">
        <f t="shared" si="25"/>
        <v>11192.434</v>
      </c>
      <c r="E102" s="13">
        <f>F102/D102*100</f>
        <v>0.816748171130605</v>
      </c>
      <c r="F102" s="12">
        <f t="shared" si="25"/>
        <v>91.414</v>
      </c>
    </row>
    <row r="103" spans="1:6">
      <c r="A103" s="17" t="s">
        <v>21</v>
      </c>
      <c r="B103" s="17"/>
      <c r="C103" s="17">
        <f t="shared" ref="C103:F103" si="26">C97+C99+C102</f>
        <v>6846.926</v>
      </c>
      <c r="D103" s="17">
        <f t="shared" si="26"/>
        <v>18453.558</v>
      </c>
      <c r="E103" s="18">
        <f>F103/D103*100</f>
        <v>1.06827095349309</v>
      </c>
      <c r="F103" s="17">
        <f t="shared" si="26"/>
        <v>197.134</v>
      </c>
    </row>
  </sheetData>
  <mergeCells count="9">
    <mergeCell ref="A1:F1"/>
    <mergeCell ref="A18:F18"/>
    <mergeCell ref="A33:F33"/>
    <mergeCell ref="A39:F39"/>
    <mergeCell ref="A50:F50"/>
    <mergeCell ref="A67:F67"/>
    <mergeCell ref="A83:F83"/>
    <mergeCell ref="A89:F89"/>
    <mergeCell ref="A94:F9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2026-07-12T05:13:00Z</dcterms:created>
  <dcterms:modified xsi:type="dcterms:W3CDTF">2026-09-24T10:35:02Z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A3C44155766C4B99934371DC24BCCABE_12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