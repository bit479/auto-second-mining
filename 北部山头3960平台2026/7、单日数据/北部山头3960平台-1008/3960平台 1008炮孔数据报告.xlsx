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2026地质生产数据\北部山头2026\北部山头3960平台2026\7、单日数据\北部山头3960平台-1008\"/>
    </mc:Choice>
  </mc:AlternateContent>
  <xr:revisionPtr revIDLastSave="0" documentId="13_ncr:1_{20642C6E-7064-473B-9485-941F8A860739}" xr6:coauthVersionLast="47" xr6:coauthVersionMax="47" xr10:uidLastSave="{00000000-0000-0000-0000-000000000000}"/>
  <bookViews>
    <workbookView xWindow="-108" yWindow="-108" windowWidth="23256" windowHeight="1281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C12" i="1"/>
  <c r="E9" i="1"/>
  <c r="D9" i="1"/>
  <c r="F9" i="1"/>
  <c r="C9" i="1"/>
  <c r="E8" i="1"/>
  <c r="D8" i="1"/>
  <c r="F8" i="1"/>
  <c r="C8" i="1"/>
  <c r="F12" i="1"/>
  <c r="E12" i="1" s="1"/>
</calcChain>
</file>

<file path=xl/sharedStrings.xml><?xml version="1.0" encoding="utf-8"?>
<sst xmlns="http://schemas.openxmlformats.org/spreadsheetml/2006/main" count="43" uniqueCount="19">
  <si>
    <t>类型</t>
  </si>
  <si>
    <t>体号</t>
  </si>
  <si>
    <t>体积</t>
  </si>
  <si>
    <t>重量（t）</t>
  </si>
  <si>
    <t>平均品位(Au)</t>
  </si>
  <si>
    <t>金属量（百克）</t>
  </si>
  <si>
    <t>0.500-1.000</t>
  </si>
  <si>
    <t>合计</t>
    <phoneticPr fontId="7" type="noConversion"/>
  </si>
  <si>
    <t>1.000-1.500</t>
  </si>
  <si>
    <t>1.500-3.000</t>
    <phoneticPr fontId="7" type="noConversion"/>
  </si>
  <si>
    <t>小计</t>
    <phoneticPr fontId="7" type="noConversion"/>
  </si>
  <si>
    <t>北部山头3960平台 1008炮孔数据报告</t>
    <phoneticPr fontId="7" type="noConversion"/>
  </si>
  <si>
    <t>3DMine 炮孔数据库报告</t>
  </si>
  <si>
    <t>重量</t>
  </si>
  <si>
    <t>金属量</t>
  </si>
  <si>
    <t>小计</t>
  </si>
  <si>
    <t>总计</t>
  </si>
  <si>
    <t>3.000-999.000</t>
  </si>
  <si>
    <t>1.500-3.000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</si>
</sst>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_);[Red]\(0.00\)"/>
  </numFmts>
  <fonts count="8" x14ac:knownFonts="1">
    <font>
      <sz val="11"/>
      <color theme="1"/>
      <name val="等线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0" xfId="2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vertical="center"/>
    </xf>
    <xf numFmtId="177" fontId="0" fillId="0" borderId="1" xfId="0" applyNumberForma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7" fontId="2" fillId="0" borderId="0" xfId="2" applyNumberFormat="1" applyAlignment="1">
      <alignment horizontal="center" vertical="center"/>
    </xf>
    <xf numFmtId="177" fontId="0" fillId="0" borderId="0" xfId="0" applyNumberFormat="1" applyAlignment="1">
      <alignment horizontal="center"/>
    </xf>
    <xf numFmtId="177" fontId="2" fillId="0" borderId="0" xfId="2" applyNumberFormat="1">
      <alignment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1" fillId="0" borderId="0" xfId="3">
      <alignment vertical="center"/>
    </xf>
    <xf numFmtId="0" fontId="1" fillId="0" borderId="0" xfId="3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Alignment="1">
      <alignment horizontal="center" vertical="center"/>
    </xf>
    <xf numFmtId="0" fontId="1" fillId="0" borderId="0" xfId="2" applyFont="1" applyAlignment="1">
      <alignment horizontal="center" vertical="center"/>
    </xf>
    <xf numFmtId="0" fontId="1" fillId="0" borderId="0" xfId="3">
      <alignment vertical="center"/>
    </xf>
    <xf numFmtId="0" fontId="1" fillId="0" borderId="0" xfId="3" applyAlignment="1">
      <alignment horizontal="center" vertical="center"/>
    </xf>
    <xf numFmtId="0" fontId="1" fillId="0" borderId="1" xfId="3" applyBorder="1" applyAlignment="1">
      <alignment horizontal="center" vertical="center"/>
    </xf>
    <xf numFmtId="0" fontId="1" fillId="0" borderId="1" xfId="3" applyBorder="1">
      <alignment vertical="center"/>
    </xf>
    <xf numFmtId="177" fontId="1" fillId="0" borderId="0" xfId="3" applyNumberFormat="1" applyAlignment="1">
      <alignment horizontal="center" vertical="center"/>
    </xf>
  </cellXfs>
  <cellStyles count="4">
    <cellStyle name="常规" xfId="0" builtinId="0"/>
    <cellStyle name="常规 2" xfId="1" xr:uid="{B2792B55-5BCF-481D-A7AA-C4FAD89C874D}"/>
    <cellStyle name="常规 3" xfId="2" xr:uid="{9780AAA9-A7FC-4441-9808-B7BA57FEF9BA}"/>
    <cellStyle name="常规 4" xfId="3" xr:uid="{BC6631F1-6E90-4770-8828-A95BC294FF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"/>
  <sheetViews>
    <sheetView tabSelected="1" zoomScale="70" zoomScaleNormal="70" workbookViewId="0">
      <selection activeCell="J16" sqref="J16"/>
    </sheetView>
  </sheetViews>
  <sheetFormatPr defaultColWidth="18.5546875" defaultRowHeight="13.8" x14ac:dyDescent="0.25"/>
  <cols>
    <col min="1" max="4" width="18.5546875" style="3"/>
    <col min="5" max="5" width="18.5546875" style="10"/>
    <col min="6" max="16384" width="18.5546875" style="3"/>
  </cols>
  <sheetData>
    <row r="1" spans="1:6" x14ac:dyDescent="0.25">
      <c r="A1" s="14" t="s">
        <v>11</v>
      </c>
      <c r="B1" s="15"/>
      <c r="C1" s="15"/>
      <c r="D1" s="15"/>
      <c r="E1" s="16"/>
      <c r="F1" s="15"/>
    </row>
    <row r="2" spans="1:6" x14ac:dyDescent="0.25">
      <c r="A2" s="1" t="s">
        <v>0</v>
      </c>
      <c r="B2" s="1" t="s">
        <v>1</v>
      </c>
      <c r="C2" s="1" t="s">
        <v>2</v>
      </c>
      <c r="D2" s="1" t="s">
        <v>3</v>
      </c>
      <c r="E2" s="9" t="s">
        <v>4</v>
      </c>
      <c r="F2" s="1" t="s">
        <v>5</v>
      </c>
    </row>
    <row r="3" spans="1:6" x14ac:dyDescent="0.25">
      <c r="A3" s="1" t="s">
        <v>18</v>
      </c>
      <c r="B3" s="1">
        <v>1</v>
      </c>
      <c r="C3" s="1">
        <v>697.39100000000008</v>
      </c>
      <c r="D3" s="1">
        <v>1882.9569999999999</v>
      </c>
      <c r="E3" s="9">
        <v>2.4710601463549087</v>
      </c>
      <c r="F3" s="1">
        <v>46.528999999999996</v>
      </c>
    </row>
    <row r="4" spans="1:6" x14ac:dyDescent="0.25">
      <c r="A4" s="24" t="s">
        <v>15</v>
      </c>
      <c r="B4" s="25"/>
      <c r="C4" s="1">
        <v>697.39100000000008</v>
      </c>
      <c r="D4" s="1">
        <v>1882.9569999999999</v>
      </c>
      <c r="E4" s="9">
        <v>2.4710601463549087</v>
      </c>
      <c r="F4" s="1">
        <v>46.528999999999996</v>
      </c>
    </row>
    <row r="5" spans="1:6" x14ac:dyDescent="0.25">
      <c r="A5" s="1" t="s">
        <v>6</v>
      </c>
      <c r="B5" s="1">
        <v>2</v>
      </c>
      <c r="C5" s="1">
        <v>922.43299999999999</v>
      </c>
      <c r="D5" s="1">
        <v>2490.5700000000002</v>
      </c>
      <c r="E5" s="9">
        <v>0.79900000000000004</v>
      </c>
      <c r="F5" s="1">
        <v>19.89</v>
      </c>
    </row>
    <row r="6" spans="1:6" x14ac:dyDescent="0.25">
      <c r="A6" s="1" t="s">
        <v>6</v>
      </c>
      <c r="B6" s="1">
        <v>3</v>
      </c>
      <c r="C6" s="1">
        <v>645.87099999999998</v>
      </c>
      <c r="D6" s="1">
        <v>1743.8510000000001</v>
      </c>
      <c r="E6" s="9">
        <v>0.60299999999999998</v>
      </c>
      <c r="F6" s="1">
        <v>10.516999999999999</v>
      </c>
    </row>
    <row r="7" spans="1:6" x14ac:dyDescent="0.25">
      <c r="A7" s="1" t="s">
        <v>6</v>
      </c>
      <c r="B7" s="1">
        <v>4</v>
      </c>
      <c r="C7" s="1">
        <v>796.23699999999997</v>
      </c>
      <c r="D7" s="1">
        <v>2149.84</v>
      </c>
      <c r="E7" s="9">
        <v>0.72099999999999997</v>
      </c>
      <c r="F7" s="1">
        <v>15.503</v>
      </c>
    </row>
    <row r="8" spans="1:6" x14ac:dyDescent="0.25">
      <c r="A8" s="5" t="s">
        <v>10</v>
      </c>
      <c r="B8" s="1"/>
      <c r="C8" s="1">
        <f>C5+C6+C7</f>
        <v>2364.5410000000002</v>
      </c>
      <c r="D8" s="1">
        <f t="shared" ref="D8:F8" si="0">D5+D6+D7</f>
        <v>6384.2610000000004</v>
      </c>
      <c r="E8" s="9">
        <f>F8/D8*100</f>
        <v>0.71911220421596167</v>
      </c>
      <c r="F8" s="1">
        <f t="shared" si="0"/>
        <v>45.91</v>
      </c>
    </row>
    <row r="9" spans="1:6" ht="13.05" customHeight="1" x14ac:dyDescent="0.25">
      <c r="A9" s="5" t="s">
        <v>7</v>
      </c>
      <c r="B9" s="1"/>
      <c r="C9" s="4">
        <f>C5+C8</f>
        <v>3286.9740000000002</v>
      </c>
      <c r="D9" s="4">
        <f t="shared" ref="D9:F9" si="1">D5+D8</f>
        <v>8874.8310000000001</v>
      </c>
      <c r="E9" s="9">
        <f>F9/D9*100</f>
        <v>0.74142256906075166</v>
      </c>
      <c r="F9" s="4">
        <f t="shared" si="1"/>
        <v>65.8</v>
      </c>
    </row>
    <row r="11" spans="1:6" x14ac:dyDescent="0.25">
      <c r="A11" s="6"/>
      <c r="B11" s="6"/>
      <c r="C11" s="6"/>
      <c r="D11" s="6"/>
      <c r="E11" s="11"/>
      <c r="F11" s="6"/>
    </row>
    <row r="12" spans="1:6" x14ac:dyDescent="0.25">
      <c r="A12" s="21" t="s">
        <v>9</v>
      </c>
      <c r="B12" s="6">
        <v>1</v>
      </c>
      <c r="C12" s="6">
        <f>C30+C28</f>
        <v>697.39100000000008</v>
      </c>
      <c r="D12" s="6">
        <f>D30+D28</f>
        <v>1882.9569999999999</v>
      </c>
      <c r="E12" s="11">
        <f>F12/D12*100</f>
        <v>2.4710601463549087</v>
      </c>
      <c r="F12" s="6">
        <f t="shared" ref="D12:F12" si="2">F30+F28</f>
        <v>46.528999999999996</v>
      </c>
    </row>
    <row r="13" spans="1:6" x14ac:dyDescent="0.25">
      <c r="A13" s="23" t="s">
        <v>6</v>
      </c>
      <c r="B13" s="23">
        <v>2</v>
      </c>
      <c r="C13" s="23">
        <v>922.43299999999999</v>
      </c>
      <c r="D13" s="23">
        <v>2490.5700000000002</v>
      </c>
      <c r="E13" s="26">
        <v>0.79900000000000004</v>
      </c>
      <c r="F13" s="23">
        <v>19.89</v>
      </c>
    </row>
    <row r="14" spans="1:6" x14ac:dyDescent="0.25">
      <c r="A14" s="23" t="s">
        <v>6</v>
      </c>
      <c r="B14" s="23">
        <v>3</v>
      </c>
      <c r="C14" s="23">
        <v>645.87099999999998</v>
      </c>
      <c r="D14" s="23">
        <v>1743.8510000000001</v>
      </c>
      <c r="E14" s="26">
        <v>0.60299999999999998</v>
      </c>
      <c r="F14" s="23">
        <v>10.516999999999999</v>
      </c>
    </row>
    <row r="15" spans="1:6" x14ac:dyDescent="0.25">
      <c r="A15" s="23" t="s">
        <v>6</v>
      </c>
      <c r="B15" s="23">
        <v>4</v>
      </c>
      <c r="C15" s="23">
        <v>796.23699999999997</v>
      </c>
      <c r="D15" s="23">
        <v>2149.84</v>
      </c>
      <c r="E15" s="26">
        <v>0.72099999999999997</v>
      </c>
      <c r="F15" s="23">
        <v>15.503</v>
      </c>
    </row>
    <row r="16" spans="1:6" x14ac:dyDescent="0.25">
      <c r="A16" s="6"/>
      <c r="B16" s="6"/>
      <c r="C16" s="6"/>
      <c r="D16" s="6"/>
      <c r="E16" s="11"/>
      <c r="F16" s="6"/>
    </row>
    <row r="17" spans="1:6" x14ac:dyDescent="0.25">
      <c r="A17" s="6"/>
      <c r="B17" s="6"/>
      <c r="C17" s="6"/>
      <c r="D17" s="6"/>
      <c r="E17" s="11"/>
      <c r="F17" s="6"/>
    </row>
    <row r="18" spans="1:6" x14ac:dyDescent="0.25">
      <c r="A18" s="2"/>
      <c r="B18" s="2"/>
    </row>
    <row r="19" spans="1:6" x14ac:dyDescent="0.25">
      <c r="A19" s="19" t="s">
        <v>12</v>
      </c>
      <c r="B19" s="20"/>
      <c r="C19" s="20"/>
      <c r="D19" s="20"/>
      <c r="E19" s="20"/>
      <c r="F19" s="20"/>
    </row>
    <row r="20" spans="1:6" x14ac:dyDescent="0.25">
      <c r="A20" s="18" t="s">
        <v>0</v>
      </c>
      <c r="B20" s="18" t="s">
        <v>1</v>
      </c>
      <c r="C20" s="18" t="s">
        <v>2</v>
      </c>
      <c r="D20" s="18" t="s">
        <v>13</v>
      </c>
      <c r="E20" s="26" t="s">
        <v>4</v>
      </c>
      <c r="F20" s="18" t="s">
        <v>14</v>
      </c>
    </row>
    <row r="21" spans="1:6" x14ac:dyDescent="0.25">
      <c r="A21" s="18" t="s">
        <v>6</v>
      </c>
      <c r="B21" s="18">
        <v>1</v>
      </c>
      <c r="C21" s="18">
        <v>922.43299999999999</v>
      </c>
      <c r="D21" s="18">
        <v>2490.5700000000002</v>
      </c>
      <c r="E21" s="26">
        <v>0.79900000000000004</v>
      </c>
      <c r="F21" s="18">
        <v>19.89</v>
      </c>
    </row>
    <row r="22" spans="1:6" x14ac:dyDescent="0.25">
      <c r="A22" s="18" t="s">
        <v>15</v>
      </c>
      <c r="B22" s="17"/>
      <c r="C22" s="18">
        <v>922.43299999999999</v>
      </c>
      <c r="D22" s="18">
        <v>2490.5700000000002</v>
      </c>
      <c r="E22" s="26">
        <v>0.79900000000000004</v>
      </c>
      <c r="F22" s="18">
        <v>19.89</v>
      </c>
    </row>
    <row r="23" spans="1:6" x14ac:dyDescent="0.25">
      <c r="A23" s="18" t="s">
        <v>16</v>
      </c>
      <c r="B23" s="17"/>
      <c r="C23" s="18">
        <v>922.43299999999999</v>
      </c>
      <c r="D23" s="18">
        <v>2490.5700000000002</v>
      </c>
      <c r="E23" s="26">
        <v>0.79900000000000004</v>
      </c>
      <c r="F23" s="18">
        <v>19.89</v>
      </c>
    </row>
    <row r="24" spans="1:6" x14ac:dyDescent="0.25">
      <c r="A24" s="7"/>
      <c r="B24" s="7"/>
      <c r="C24" s="7"/>
      <c r="D24" s="7"/>
      <c r="E24" s="12"/>
      <c r="F24" s="7"/>
    </row>
    <row r="25" spans="1:6" x14ac:dyDescent="0.25">
      <c r="A25" s="7"/>
      <c r="B25" s="7"/>
      <c r="C25" s="7"/>
      <c r="D25" s="7"/>
      <c r="E25" s="12"/>
      <c r="F25" s="7"/>
    </row>
    <row r="26" spans="1:6" x14ac:dyDescent="0.25">
      <c r="A26" s="19" t="s">
        <v>12</v>
      </c>
      <c r="B26" s="20"/>
      <c r="C26" s="20"/>
      <c r="D26" s="20"/>
      <c r="E26" s="20"/>
      <c r="F26" s="20"/>
    </row>
    <row r="27" spans="1:6" x14ac:dyDescent="0.25">
      <c r="A27" s="23" t="s">
        <v>0</v>
      </c>
      <c r="B27" s="23" t="s">
        <v>1</v>
      </c>
      <c r="C27" s="23" t="s">
        <v>2</v>
      </c>
      <c r="D27" s="23" t="s">
        <v>13</v>
      </c>
      <c r="E27" s="26" t="s">
        <v>4</v>
      </c>
      <c r="F27" s="23" t="s">
        <v>14</v>
      </c>
    </row>
    <row r="28" spans="1:6" x14ac:dyDescent="0.25">
      <c r="A28" s="23" t="s">
        <v>8</v>
      </c>
      <c r="B28" s="23">
        <v>1</v>
      </c>
      <c r="C28" s="23">
        <v>331.91300000000001</v>
      </c>
      <c r="D28" s="23">
        <v>896.16499999999996</v>
      </c>
      <c r="E28" s="26">
        <v>1.25</v>
      </c>
      <c r="F28" s="23">
        <v>11.202</v>
      </c>
    </row>
    <row r="29" spans="1:6" x14ac:dyDescent="0.25">
      <c r="A29" s="23" t="s">
        <v>15</v>
      </c>
      <c r="B29" s="22"/>
      <c r="C29" s="23">
        <v>331.91300000000001</v>
      </c>
      <c r="D29" s="23">
        <v>896.16499999999996</v>
      </c>
      <c r="E29" s="26">
        <v>1.25</v>
      </c>
      <c r="F29" s="23">
        <v>11.202</v>
      </c>
    </row>
    <row r="30" spans="1:6" x14ac:dyDescent="0.25">
      <c r="A30" s="23" t="s">
        <v>17</v>
      </c>
      <c r="B30" s="23">
        <v>2</v>
      </c>
      <c r="C30" s="23">
        <v>365.47800000000001</v>
      </c>
      <c r="D30" s="23">
        <v>986.79200000000003</v>
      </c>
      <c r="E30" s="26">
        <v>3.58</v>
      </c>
      <c r="F30" s="23">
        <v>35.326999999999998</v>
      </c>
    </row>
    <row r="31" spans="1:6" x14ac:dyDescent="0.25">
      <c r="A31" s="23" t="s">
        <v>15</v>
      </c>
      <c r="B31" s="22"/>
      <c r="C31" s="23">
        <v>365.47800000000001</v>
      </c>
      <c r="D31" s="23">
        <v>986.79200000000003</v>
      </c>
      <c r="E31" s="26">
        <v>3.58</v>
      </c>
      <c r="F31" s="23">
        <v>35.326999999999998</v>
      </c>
    </row>
    <row r="32" spans="1:6" x14ac:dyDescent="0.25">
      <c r="A32" s="23" t="s">
        <v>6</v>
      </c>
      <c r="B32" s="23">
        <v>3</v>
      </c>
      <c r="C32" s="23">
        <v>645.87099999999998</v>
      </c>
      <c r="D32" s="23">
        <v>1743.8510000000001</v>
      </c>
      <c r="E32" s="26">
        <v>0.60299999999999998</v>
      </c>
      <c r="F32" s="23">
        <v>10.516999999999999</v>
      </c>
    </row>
    <row r="33" spans="1:6" x14ac:dyDescent="0.25">
      <c r="A33" s="23" t="s">
        <v>6</v>
      </c>
      <c r="B33" s="23">
        <v>4</v>
      </c>
      <c r="C33" s="23">
        <v>796.23699999999997</v>
      </c>
      <c r="D33" s="23">
        <v>2149.84</v>
      </c>
      <c r="E33" s="26">
        <v>0.72099999999999997</v>
      </c>
      <c r="F33" s="23">
        <v>15.503</v>
      </c>
    </row>
    <row r="34" spans="1:6" x14ac:dyDescent="0.25">
      <c r="A34" s="23" t="s">
        <v>15</v>
      </c>
      <c r="B34" s="22"/>
      <c r="C34" s="23">
        <v>1442.1079999999999</v>
      </c>
      <c r="D34" s="23">
        <v>3893.6909999999998</v>
      </c>
      <c r="E34" s="26">
        <v>0.66800000000000004</v>
      </c>
      <c r="F34" s="23">
        <v>26.02</v>
      </c>
    </row>
    <row r="35" spans="1:6" x14ac:dyDescent="0.25">
      <c r="A35" s="23" t="s">
        <v>16</v>
      </c>
      <c r="B35" s="22"/>
      <c r="C35" s="23">
        <v>2139.4989999999998</v>
      </c>
      <c r="D35" s="23">
        <v>5776.6469999999999</v>
      </c>
      <c r="E35" s="26">
        <v>1.256</v>
      </c>
      <c r="F35" s="23">
        <v>72.549000000000007</v>
      </c>
    </row>
    <row r="36" spans="1:6" x14ac:dyDescent="0.25">
      <c r="A36" s="6"/>
    </row>
    <row r="37" spans="1:6" x14ac:dyDescent="0.25">
      <c r="A37" s="6"/>
    </row>
    <row r="39" spans="1:6" x14ac:dyDescent="0.25">
      <c r="A39" s="6"/>
      <c r="B39" s="6"/>
      <c r="C39" s="6"/>
      <c r="D39" s="6"/>
      <c r="E39" s="11"/>
      <c r="F39" s="6"/>
    </row>
    <row r="40" spans="1:6" x14ac:dyDescent="0.25">
      <c r="A40" s="6"/>
      <c r="B40" s="6"/>
      <c r="C40" s="6"/>
      <c r="D40" s="6"/>
      <c r="E40" s="11"/>
      <c r="F40" s="6"/>
    </row>
    <row r="41" spans="1:6" x14ac:dyDescent="0.25">
      <c r="A41" s="6"/>
      <c r="B41" s="8"/>
      <c r="C41" s="6"/>
      <c r="D41" s="6"/>
      <c r="E41" s="13"/>
      <c r="F41" s="6"/>
    </row>
    <row r="42" spans="1:6" x14ac:dyDescent="0.25">
      <c r="A42" s="6"/>
      <c r="B42" s="6"/>
      <c r="C42" s="6"/>
      <c r="D42" s="6"/>
      <c r="E42" s="11"/>
      <c r="F42" s="6"/>
    </row>
    <row r="43" spans="1:6" x14ac:dyDescent="0.25">
      <c r="A43" s="6"/>
      <c r="B43" s="8"/>
      <c r="C43" s="6"/>
      <c r="D43" s="6"/>
      <c r="E43" s="13"/>
      <c r="F43" s="6"/>
    </row>
    <row r="44" spans="1:6" x14ac:dyDescent="0.25">
      <c r="A44" s="8"/>
      <c r="B44" s="8"/>
      <c r="C44" s="8"/>
      <c r="D44" s="8"/>
      <c r="E44" s="13"/>
      <c r="F44" s="8"/>
    </row>
    <row r="47" spans="1:6" x14ac:dyDescent="0.25">
      <c r="A47" s="6"/>
      <c r="B47" s="6"/>
      <c r="C47" s="6"/>
      <c r="D47" s="6"/>
      <c r="E47" s="11"/>
      <c r="F47" s="6"/>
    </row>
    <row r="48" spans="1:6" x14ac:dyDescent="0.25">
      <c r="A48" s="6"/>
      <c r="B48" s="6"/>
      <c r="C48" s="6"/>
      <c r="D48" s="6"/>
      <c r="E48" s="11"/>
      <c r="F48" s="6"/>
    </row>
    <row r="49" spans="1:6" x14ac:dyDescent="0.25">
      <c r="A49" s="6"/>
      <c r="B49" s="8"/>
      <c r="C49" s="6"/>
      <c r="D49" s="6"/>
      <c r="E49" s="13"/>
      <c r="F49" s="6"/>
    </row>
    <row r="50" spans="1:6" x14ac:dyDescent="0.25">
      <c r="A50" s="6"/>
      <c r="B50" s="6"/>
      <c r="C50" s="6"/>
      <c r="D50" s="6"/>
      <c r="E50" s="11"/>
      <c r="F50" s="6"/>
    </row>
    <row r="51" spans="1:6" x14ac:dyDescent="0.25">
      <c r="A51" s="6"/>
      <c r="B51" s="6"/>
      <c r="C51" s="6"/>
      <c r="D51" s="6"/>
      <c r="E51" s="11"/>
      <c r="F51" s="6"/>
    </row>
    <row r="52" spans="1:6" x14ac:dyDescent="0.25">
      <c r="A52" s="6"/>
      <c r="B52" s="6"/>
      <c r="C52" s="6"/>
      <c r="D52" s="6"/>
      <c r="E52" s="11"/>
      <c r="F52" s="6"/>
    </row>
    <row r="53" spans="1:6" x14ac:dyDescent="0.25">
      <c r="A53" s="6"/>
      <c r="B53" s="8"/>
      <c r="C53" s="6"/>
      <c r="D53" s="6"/>
      <c r="E53" s="13"/>
      <c r="F53" s="6"/>
    </row>
    <row r="54" spans="1:6" x14ac:dyDescent="0.25">
      <c r="A54" s="6"/>
      <c r="B54" s="6"/>
      <c r="C54" s="6"/>
      <c r="D54" s="6"/>
      <c r="E54" s="11"/>
      <c r="F54" s="6"/>
    </row>
    <row r="55" spans="1:6" x14ac:dyDescent="0.25">
      <c r="A55" s="6"/>
      <c r="B55" s="8"/>
      <c r="C55" s="6"/>
      <c r="D55" s="6"/>
      <c r="E55" s="13"/>
      <c r="F55" s="6"/>
    </row>
  </sheetData>
  <mergeCells count="3">
    <mergeCell ref="A1:F1"/>
    <mergeCell ref="A19:F19"/>
    <mergeCell ref="A26:F26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天亮 杨</dc:creator>
  <cp:lastModifiedBy>Bit Hiley</cp:lastModifiedBy>
  <dcterms:created xsi:type="dcterms:W3CDTF">2026-07-20T03:06:00Z</dcterms:created>
  <dcterms:modified xsi:type="dcterms:W3CDTF">2026-10-10T08:56:44Z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A8FE51D5CA9A4DCA87E9ED4BB2991144_12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