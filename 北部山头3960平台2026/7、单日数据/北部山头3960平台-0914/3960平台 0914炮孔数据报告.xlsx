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B:\2026年采矿厂工作\采矿厂\2026地质生产数据\北部山头2026\北部山头3960平台2026\7、单日数据\北部山头3960平台-0914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<sst xmlns="http://schemas.openxmlformats.org/spreadsheetml/2006/main" count="19" uniqueCount="12">
  <si>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>3960平台 0914炮孔数据报告</t>
  </si>
  <si>
    <t>类型</t>
  </si>
  <si>
    <t>体号</t>
  </si>
  <si>
    <t>体积</t>
  </si>
  <si>
    <t>重量（t）</t>
  </si>
  <si>
    <t>平均品位(Au)</t>
  </si>
  <si>
    <t>金属量（百克）</t>
  </si>
  <si>
    <t>1.500-3.000</t>
  </si>
  <si>
    <t>小计</t>
  </si>
  <si>
    <t>1.000-1.500</t>
  </si>
  <si>
    <t>0.500-1.000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</si>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</sst>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3" borderId="7">
      <alignment vertical="center"/>
    </xf>
    <xf numFmtId="0" fontId="11" fillId="4" borderId="8">
      <alignment vertical="center"/>
    </xf>
    <xf numFmtId="0" fontId="12" fillId="4" borderId="7">
      <alignment vertical="center"/>
    </xf>
    <xf numFmtId="0" fontId="13" fillId="5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abSelected="1" workbookViewId="0">
      <selection activeCell="A1" sqref="A1:F14"/>
    </sheetView>
  </sheetViews>
  <sheetFormatPr defaultColWidth="18.5833333333333" defaultRowHeight="13.8" outlineLevelCol="5"/>
  <sheetData>
    <row r="1" spans="1:6">
      <c r="A1" s="1" t="s">
        <v>0</v>
      </c>
      <c r="B1" s="2"/>
      <c r="C1" s="2"/>
      <c r="D1" s="2"/>
      <c r="E1" s="2"/>
      <c r="F1" s="3"/>
    </row>
    <row r="2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>
      <c r="A3" s="4" t="s">
        <v>7</v>
      </c>
      <c r="B3" s="4">
        <v>1</v>
      </c>
      <c r="C3" s="4">
        <v>140.314</v>
      </c>
      <c r="D3" s="4">
        <v>378.847</v>
      </c>
      <c r="E3" s="5">
        <v>1.7</v>
      </c>
      <c r="F3" s="4">
        <v>6.44</v>
      </c>
    </row>
    <row r="4" spans="1:6">
      <c r="A4" s="4" t="s">
        <v>7</v>
      </c>
      <c r="B4" s="4">
        <v>2</v>
      </c>
      <c r="C4" s="4">
        <v>410.837</v>
      </c>
      <c r="D4" s="4">
        <v>1109.259</v>
      </c>
      <c r="E4" s="5">
        <v>1.56</v>
      </c>
      <c r="F4" s="4">
        <v>17.306</v>
      </c>
    </row>
    <row r="5" spans="1:6">
      <c r="A5" s="4" t="s">
        <v>7</v>
      </c>
      <c r="B5" s="4">
        <v>3</v>
      </c>
      <c r="C5" s="4">
        <v>946.838</v>
      </c>
      <c r="D5" s="4">
        <v>2556.461</v>
      </c>
      <c r="E5" s="5">
        <v>1.527</v>
      </c>
      <c r="F5" s="4">
        <v>39.04</v>
      </c>
    </row>
    <row r="6" spans="1:6">
      <c r="A6" s="4" t="s">
        <v>8</v>
      </c>
      <c r="B6" s="4"/>
      <c r="C6" s="4">
        <f>SUM(C3:C5)</f>
        <v>1497.989</v>
      </c>
      <c r="D6" s="4">
        <f>SUM(D3:D5)</f>
        <v>4044.567</v>
      </c>
      <c r="E6" s="5">
        <f>F6/D6*100</f>
        <v>1.55235405916134</v>
      </c>
      <c r="F6" s="4">
        <f>SUM(F3:F5)</f>
        <v>62.786</v>
      </c>
    </row>
    <row r="7" spans="1:6">
      <c r="A7" s="4" t="s">
        <v>9</v>
      </c>
      <c r="B7" s="4">
        <v>4</v>
      </c>
      <c r="C7" s="4">
        <v>946.931</v>
      </c>
      <c r="D7" s="4">
        <v>2556.712</v>
      </c>
      <c r="E7" s="5">
        <v>1.459</v>
      </c>
      <c r="F7" s="4">
        <v>37.291</v>
      </c>
    </row>
    <row r="8" spans="1:6">
      <c r="A8" s="4" t="s">
        <v>9</v>
      </c>
      <c r="B8" s="4">
        <v>5</v>
      </c>
      <c r="C8" s="4">
        <v>1200.859</v>
      </c>
      <c r="D8" s="4">
        <v>3242.32</v>
      </c>
      <c r="E8" s="5">
        <v>1.129</v>
      </c>
      <c r="F8" s="4">
        <v>36.604</v>
      </c>
    </row>
    <row r="9" spans="1:6">
      <c r="A9" s="4" t="s">
        <v>8</v>
      </c>
      <c r="B9" s="4"/>
      <c r="C9" s="4">
        <f>SUM(C7:C8)</f>
        <v>2147.79</v>
      </c>
      <c r="D9" s="4">
        <f>SUM(D7:D8)</f>
        <v>5799.032</v>
      </c>
      <c r="E9" s="5">
        <f>F9/D9*100</f>
        <v>1.27426439447135</v>
      </c>
      <c r="F9" s="4">
        <f>SUM(F7:F8)</f>
        <v>73.895</v>
      </c>
    </row>
    <row r="10" spans="1:6">
      <c r="A10" s="4" t="s">
        <v>10</v>
      </c>
      <c r="B10" s="4">
        <v>6</v>
      </c>
      <c r="C10" s="4">
        <v>2011.304</v>
      </c>
      <c r="D10" s="4">
        <v>5430.52</v>
      </c>
      <c r="E10" s="5">
        <v>0.737</v>
      </c>
      <c r="F10" s="4">
        <v>40.044</v>
      </c>
    </row>
    <row r="11" spans="1:6">
      <c r="A11" s="4" t="s">
        <v>10</v>
      </c>
      <c r="B11" s="4">
        <v>7</v>
      </c>
      <c r="C11" s="4">
        <v>2535.757</v>
      </c>
      <c r="D11" s="4">
        <v>6846.545</v>
      </c>
      <c r="E11" s="5">
        <v>0.822</v>
      </c>
      <c r="F11" s="4">
        <v>56.245</v>
      </c>
    </row>
    <row r="12" spans="1:6">
      <c r="A12" s="4" t="s">
        <v>10</v>
      </c>
      <c r="B12" s="4">
        <v>8</v>
      </c>
      <c r="C12" s="4">
        <v>206.287</v>
      </c>
      <c r="D12" s="4">
        <v>556.974</v>
      </c>
      <c r="E12" s="5">
        <v>0.88</v>
      </c>
      <c r="F12" s="4">
        <v>4.901</v>
      </c>
    </row>
    <row r="13" spans="1:6">
      <c r="A13" s="4" t="s">
        <v>8</v>
      </c>
      <c r="B13" s="4"/>
      <c r="C13" s="4">
        <f>SUM(C10:C12)</f>
        <v>4753.348</v>
      </c>
      <c r="D13" s="4">
        <f>SUM(D10:D12)</f>
        <v>12834.039</v>
      </c>
      <c r="E13" s="5">
        <f>F13/D13*100</f>
        <v>0.78845015197476</v>
      </c>
      <c r="F13" s="4">
        <f>SUM(F10:F12)</f>
        <v>101.19</v>
      </c>
    </row>
    <row r="14" spans="1:6">
      <c r="A14" s="4" t="s">
        <v>11</v>
      </c>
      <c r="B14" s="4"/>
      <c r="C14" s="4">
        <f>C6+C9+C13</f>
        <v>8399.127</v>
      </c>
      <c r="D14" s="4">
        <f>D6+D9+D13</f>
        <v>22677.638</v>
      </c>
      <c r="E14" s="5">
        <f>F14/D14*100</f>
        <v>1.04892317268668</v>
      </c>
      <c r="F14" s="4">
        <f>F6+F9+F13</f>
        <v>237.871</v>
      </c>
    </row>
    <row r="15" ht="13" customHeight="1" spans="1:6">
      <c r="A15" s="6"/>
      <c r="B15" s="6"/>
      <c r="C15" s="6"/>
      <c r="D15" s="6"/>
      <c r="E15" s="6"/>
      <c r="F15" s="6"/>
    </row>
    <row r="16" spans="1:6">
      <c r="A16" s="6"/>
      <c r="C16" s="6"/>
      <c r="D16" s="6"/>
      <c r="E16" s="7"/>
      <c r="F16" s="6"/>
    </row>
    <row r="17" spans="1:6">
      <c r="A17" s="6"/>
      <c r="C17" s="6"/>
      <c r="D17" s="6"/>
      <c r="E17" s="7"/>
      <c r="F17" s="6"/>
    </row>
    <row r="18" spans="1:6">
      <c r="A18" s="8"/>
      <c r="B18" s="8"/>
      <c r="C18" s="8"/>
      <c r="D18" s="8"/>
      <c r="E18" s="8"/>
      <c r="F18" s="8"/>
    </row>
    <row r="19" spans="1:6">
      <c r="A19" s="8"/>
      <c r="B19" s="8"/>
      <c r="C19" s="8"/>
      <c r="D19" s="8"/>
      <c r="E19" s="8"/>
      <c r="F19" s="8"/>
    </row>
    <row r="20" spans="1:6">
      <c r="A20" s="8"/>
      <c r="B20" s="8"/>
      <c r="C20" s="8"/>
      <c r="D20" s="8"/>
      <c r="E20" s="8"/>
      <c r="F20" s="8"/>
    </row>
    <row r="21" spans="1:6">
      <c r="A21" s="8"/>
      <c r="B21" s="8"/>
      <c r="C21" s="8"/>
      <c r="D21" s="8"/>
      <c r="E21" s="8"/>
      <c r="F21" s="8"/>
    </row>
    <row r="22" spans="1:6">
      <c r="A22" s="8"/>
      <c r="B22" s="8"/>
      <c r="C22" s="8"/>
      <c r="D22" s="8"/>
      <c r="E22" s="8"/>
      <c r="F22" s="8"/>
    </row>
    <row r="23" spans="1:6">
      <c r="A23" s="8"/>
      <c r="B23" s="8"/>
      <c r="C23" s="8"/>
      <c r="D23" s="8"/>
      <c r="E23" s="8"/>
      <c r="F23" s="8"/>
    </row>
    <row r="24" spans="1:6">
      <c r="A24" s="8"/>
      <c r="B24" s="8"/>
      <c r="C24" s="8"/>
      <c r="D24" s="8"/>
      <c r="E24" s="8"/>
      <c r="F24" s="8"/>
    </row>
    <row r="25" spans="1:6">
      <c r="A25" s="8"/>
      <c r="B25" s="8"/>
      <c r="C25" s="8"/>
      <c r="D25" s="8"/>
      <c r="E25" s="8"/>
      <c r="F25" s="8"/>
    </row>
    <row r="26" spans="1:6">
      <c r="A26" s="8"/>
      <c r="B26" s="8"/>
      <c r="C26" s="8"/>
      <c r="D26" s="8"/>
      <c r="E26" s="8"/>
      <c r="F26" s="8"/>
    </row>
    <row r="27" spans="1:6">
      <c r="A27" s="8"/>
      <c r="B27" s="8"/>
      <c r="C27" s="8"/>
      <c r="D27" s="8"/>
      <c r="E27" s="8"/>
      <c r="F27" s="8"/>
    </row>
    <row r="28" spans="1:6">
      <c r="A28" s="8"/>
      <c r="B28" s="8"/>
      <c r="C28" s="8"/>
      <c r="D28" s="8"/>
      <c r="E28" s="8"/>
      <c r="F28" s="8"/>
    </row>
    <row r="29" spans="1:6">
      <c r="A29" s="8"/>
      <c r="B29" s="8"/>
      <c r="C29" s="8"/>
      <c r="D29" s="8"/>
      <c r="E29" s="8"/>
      <c r="F29" s="8"/>
    </row>
    <row r="30" spans="1:6">
      <c r="A30" s="8"/>
      <c r="B30" s="8"/>
      <c r="C30" s="8"/>
      <c r="D30" s="8"/>
      <c r="E30" s="8"/>
      <c r="F30" s="8"/>
    </row>
    <row r="31" spans="1:6">
      <c r="A31" s="8"/>
      <c r="B31" s="8"/>
      <c r="C31" s="8"/>
      <c r="D31" s="8"/>
      <c r="E31" s="8"/>
      <c r="F31" s="8"/>
    </row>
    <row r="32" spans="1:6">
      <c r="A32" s="8"/>
      <c r="B32" s="8"/>
      <c r="C32" s="8"/>
      <c r="D32" s="8"/>
      <c r="E32" s="8"/>
      <c r="F32" s="8"/>
    </row>
    <row r="33" spans="1:6">
      <c r="A33" s="8"/>
      <c r="B33" s="8"/>
      <c r="C33" s="8"/>
      <c r="D33" s="8"/>
      <c r="E33" s="8"/>
      <c r="F33" s="8"/>
    </row>
    <row r="34" spans="1:6">
      <c r="A34" s="8"/>
      <c r="B34" s="8"/>
      <c r="C34" s="8"/>
      <c r="D34" s="8"/>
      <c r="E34" s="8"/>
      <c r="F34" s="8"/>
    </row>
    <row r="35" spans="1:6">
      <c r="A35" s="8"/>
      <c r="B35" s="8"/>
      <c r="C35" s="8"/>
      <c r="D35" s="8"/>
      <c r="E35" s="8"/>
      <c r="F35" s="8"/>
    </row>
    <row r="36" spans="1:6">
      <c r="A36" s="8"/>
      <c r="B36" s="8"/>
      <c r="C36" s="8"/>
      <c r="D36" s="8"/>
      <c r="E36" s="8"/>
      <c r="F36" s="8"/>
    </row>
    <row r="37" spans="1:6">
      <c r="A37" s="8"/>
      <c r="B37" s="8"/>
      <c r="C37" s="8"/>
      <c r="D37" s="8"/>
      <c r="E37" s="8"/>
      <c r="F37" s="8"/>
    </row>
    <row r="38" spans="1:6">
      <c r="A38" s="8"/>
      <c r="B38" s="8"/>
      <c r="C38" s="8"/>
      <c r="D38" s="8"/>
      <c r="E38" s="8"/>
      <c r="F38" s="8"/>
    </row>
    <row r="39" spans="1:6">
      <c r="A39" s="6"/>
      <c r="B39" s="8"/>
      <c r="C39" s="6"/>
      <c r="D39" s="6"/>
      <c r="E39" s="6"/>
      <c r="F39" s="6"/>
    </row>
    <row r="40" spans="1:6">
      <c r="A40" s="8"/>
      <c r="B40" s="8"/>
      <c r="C40" s="8"/>
      <c r="D40" s="8"/>
      <c r="E40" s="8"/>
      <c r="F40" s="8"/>
    </row>
    <row r="41" spans="1:6">
      <c r="A41" s="8"/>
      <c r="B41" s="8"/>
      <c r="C41" s="8"/>
      <c r="D41" s="8"/>
      <c r="E41" s="8"/>
      <c r="F41" s="8"/>
    </row>
    <row r="42" spans="1:6">
      <c r="A42" s="6"/>
      <c r="B42" s="8"/>
      <c r="C42" s="6"/>
      <c r="D42" s="6"/>
      <c r="E42" s="6"/>
      <c r="F42" s="6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韩</cp:lastModifiedBy>
  <dcterms:created xsi:type="dcterms:W3CDTF">2026-07-20T03:06:00Z</dcterms:created>
  <dcterms:modified xsi:type="dcterms:W3CDTF">2026-09-16T03:00:18Z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