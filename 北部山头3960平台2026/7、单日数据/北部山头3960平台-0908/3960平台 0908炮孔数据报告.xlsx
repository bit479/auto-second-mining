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60平台2026\7、单日数据\北部山头3960平台-0908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<sst xmlns="http://schemas.openxmlformats.org/spreadsheetml/2006/main" count="21" uniqueCount="12">
  <si>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3960平台 0908炮孔数据报告</t>
  </si>
  <si>
    <t>类型</t>
  </si>
  <si>
    <t>体号</t>
  </si>
  <si>
    <t>体积</t>
  </si>
  <si>
    <t>重量（t）</t>
  </si>
  <si>
    <t>平均品位(Au)</t>
  </si>
  <si>
    <t>金属量（百克）</t>
  </si>
  <si>
    <t>1.500-3.000</t>
  </si>
  <si>
    <t>小计</t>
  </si>
  <si>
    <t>1.000-1.500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</si>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</sst>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A1" sqref="A1:F16"/>
    </sheetView>
  </sheetViews>
  <sheetFormatPr defaultColWidth="18.5833333333333" defaultRowHeight="13.8" outlineLevelCol="5"/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4">
        <v>1</v>
      </c>
      <c r="C3" s="4">
        <v>433.883</v>
      </c>
      <c r="D3" s="4">
        <v>1171.483</v>
      </c>
      <c r="E3" s="5">
        <v>1.684</v>
      </c>
      <c r="F3" s="4">
        <v>19.732</v>
      </c>
    </row>
    <row r="4" spans="1:6">
      <c r="A4" s="4" t="s">
        <v>7</v>
      </c>
      <c r="B4" s="4">
        <v>2</v>
      </c>
      <c r="C4" s="4">
        <v>519.993</v>
      </c>
      <c r="D4" s="4">
        <v>1403.981</v>
      </c>
      <c r="E4" s="5">
        <v>1.789</v>
      </c>
      <c r="F4" s="4">
        <v>25.117</v>
      </c>
    </row>
    <row r="5" spans="1:6">
      <c r="A5" s="4" t="s">
        <v>8</v>
      </c>
      <c r="B5" s="4"/>
      <c r="C5" s="4">
        <f>SUM(C3:C4)</f>
        <v>953.876</v>
      </c>
      <c r="D5" s="4">
        <f>SUM(D3:D4)</f>
        <v>2575.464</v>
      </c>
      <c r="E5" s="5">
        <f>F5/D5*100</f>
        <v>1.74139494863838</v>
      </c>
      <c r="F5" s="4">
        <f>SUM(F3:F4)</f>
        <v>44.849</v>
      </c>
    </row>
    <row r="6" spans="1:6">
      <c r="A6" s="4" t="s">
        <v>9</v>
      </c>
      <c r="B6" s="4">
        <v>3</v>
      </c>
      <c r="C6" s="4">
        <v>413.474</v>
      </c>
      <c r="D6" s="4">
        <v>1116.381</v>
      </c>
      <c r="E6" s="5">
        <v>1.228</v>
      </c>
      <c r="F6" s="4">
        <v>13.71</v>
      </c>
    </row>
    <row r="7" spans="1:6">
      <c r="A7" s="4" t="s">
        <v>9</v>
      </c>
      <c r="B7" s="4">
        <v>4</v>
      </c>
      <c r="C7" s="4">
        <v>1232.977</v>
      </c>
      <c r="D7" s="4">
        <v>3329.038</v>
      </c>
      <c r="E7" s="5">
        <v>1.355</v>
      </c>
      <c r="F7" s="4">
        <v>45.121</v>
      </c>
    </row>
    <row r="8" spans="1:6">
      <c r="A8" s="4" t="s">
        <v>8</v>
      </c>
      <c r="B8" s="4"/>
      <c r="C8" s="4">
        <f>SUM(C6:C7)</f>
        <v>1646.451</v>
      </c>
      <c r="D8" s="4">
        <f>SUM(D6:D7)</f>
        <v>4445.419</v>
      </c>
      <c r="E8" s="5">
        <f>F8/D8*100</f>
        <v>1.32340730986213</v>
      </c>
      <c r="F8" s="4">
        <f>SUM(F6:F7)</f>
        <v>58.831</v>
      </c>
    </row>
    <row r="9" spans="1:6">
      <c r="A9" s="4" t="s">
        <v>10</v>
      </c>
      <c r="B9" s="4">
        <v>5</v>
      </c>
      <c r="C9" s="4">
        <v>204.97</v>
      </c>
      <c r="D9" s="4">
        <v>553.418</v>
      </c>
      <c r="E9" s="5">
        <v>0.65</v>
      </c>
      <c r="F9" s="4">
        <v>3.597</v>
      </c>
    </row>
    <row r="10" spans="1:6">
      <c r="A10" s="4" t="s">
        <v>10</v>
      </c>
      <c r="B10" s="4">
        <v>6</v>
      </c>
      <c r="C10" s="4">
        <v>272.072</v>
      </c>
      <c r="D10" s="4">
        <v>734.594</v>
      </c>
      <c r="E10" s="5">
        <v>0.5</v>
      </c>
      <c r="F10" s="4">
        <v>3.673</v>
      </c>
    </row>
    <row r="11" spans="1:6">
      <c r="A11" s="4" t="s">
        <v>10</v>
      </c>
      <c r="B11" s="4">
        <v>7</v>
      </c>
      <c r="C11" s="4">
        <v>2941.751</v>
      </c>
      <c r="D11" s="4">
        <v>7942.729</v>
      </c>
      <c r="E11" s="5">
        <v>0.939</v>
      </c>
      <c r="F11" s="4">
        <v>74.552</v>
      </c>
    </row>
    <row r="12" spans="1:6">
      <c r="A12" s="4" t="s">
        <v>10</v>
      </c>
      <c r="B12" s="4">
        <v>8</v>
      </c>
      <c r="C12" s="4">
        <v>124.475</v>
      </c>
      <c r="D12" s="4">
        <v>336.082</v>
      </c>
      <c r="E12" s="5">
        <v>0.52</v>
      </c>
      <c r="F12" s="4">
        <v>1.748</v>
      </c>
    </row>
    <row r="13" spans="1:6">
      <c r="A13" s="4" t="s">
        <v>10</v>
      </c>
      <c r="B13" s="4">
        <v>9</v>
      </c>
      <c r="C13" s="4">
        <v>434.5</v>
      </c>
      <c r="D13" s="4">
        <v>1173.149</v>
      </c>
      <c r="E13" s="5">
        <v>0.803</v>
      </c>
      <c r="F13" s="4">
        <v>9.423</v>
      </c>
    </row>
    <row r="14" spans="1:6">
      <c r="A14" s="4" t="s">
        <v>10</v>
      </c>
      <c r="B14" s="4">
        <v>10</v>
      </c>
      <c r="C14" s="4">
        <v>208.485</v>
      </c>
      <c r="D14" s="4">
        <v>562.91</v>
      </c>
      <c r="E14" s="5">
        <v>0.57</v>
      </c>
      <c r="F14" s="4">
        <v>3.209</v>
      </c>
    </row>
    <row r="15" ht="13" customHeight="1" spans="1:6">
      <c r="A15" s="4" t="s">
        <v>8</v>
      </c>
      <c r="B15" s="4"/>
      <c r="C15" s="4">
        <f>SUM(C9:C14)</f>
        <v>4186.253</v>
      </c>
      <c r="D15" s="4">
        <f>SUM(D9:D14)</f>
        <v>11302.882</v>
      </c>
      <c r="E15" s="5">
        <f>F15/D15*100</f>
        <v>0.851128057428185</v>
      </c>
      <c r="F15" s="4">
        <f>SUM(F9:F14)</f>
        <v>96.202</v>
      </c>
    </row>
    <row r="16" spans="1:6">
      <c r="A16" s="4" t="s">
        <v>11</v>
      </c>
      <c r="B16" s="4"/>
      <c r="C16" s="4">
        <f>C5+C8+C15</f>
        <v>6786.58</v>
      </c>
      <c r="D16" s="4">
        <f>D5+D8+D15</f>
        <v>18323.765</v>
      </c>
      <c r="E16" s="5">
        <f>F16/D16*100</f>
        <v>1.09083477112919</v>
      </c>
      <c r="F16" s="4">
        <f>F5+F8+F15</f>
        <v>199.882</v>
      </c>
    </row>
    <row r="17" spans="1:6">
      <c r="A17" s="6"/>
      <c r="C17" s="6"/>
      <c r="D17" s="6"/>
      <c r="E17" s="7"/>
      <c r="F17" s="6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6"/>
      <c r="B39" s="8"/>
      <c r="C39" s="6"/>
      <c r="D39" s="6"/>
      <c r="E39" s="6"/>
      <c r="F39" s="6"/>
    </row>
    <row r="40" spans="1:6">
      <c r="A40" s="8"/>
      <c r="B40" s="8"/>
      <c r="C40" s="8"/>
      <c r="D40" s="8"/>
      <c r="E40" s="8"/>
      <c r="F40" s="8"/>
    </row>
    <row r="41" spans="1:6">
      <c r="A41" s="8"/>
      <c r="B41" s="8"/>
      <c r="C41" s="8"/>
      <c r="D41" s="8"/>
      <c r="E41" s="8"/>
      <c r="F41" s="8"/>
    </row>
    <row r="42" spans="1:6">
      <c r="A42" s="6"/>
      <c r="B42" s="8"/>
      <c r="C42" s="6"/>
      <c r="D42" s="6"/>
      <c r="E42" s="6"/>
      <c r="F42" s="6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2026-09-08T11:34:04Z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