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22 - 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<sst xmlns="http://schemas.openxmlformats.org/spreadsheetml/2006/main" count="15" uniqueCount="12">
  <si>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北部山头3960平台 0922-2炮孔数据报告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</si>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</sst>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1" sqref="A1:F10"/>
    </sheetView>
  </sheetViews>
  <sheetFormatPr defaultColWidth="18.5833333333333" defaultRowHeight="13.8" outlineLevelCol="5"/>
  <cols>
    <col min="5" max="5" width="18.5833333333333" style="1"/>
  </cols>
  <sheetData>
    <row r="1" spans="1:6">
      <c r="A1" s="2" t="s">
        <v>0</v>
      </c>
      <c r="B1" s="3"/>
      <c r="C1" s="3"/>
      <c r="D1" s="3"/>
      <c r="E1" s="4"/>
      <c r="F1" s="3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pans="1:6">
      <c r="A3" s="7" t="s">
        <v>7</v>
      </c>
      <c r="B3" s="7">
        <v>1</v>
      </c>
      <c r="C3" s="7">
        <v>606.56</v>
      </c>
      <c r="D3" s="7">
        <v>1637.713</v>
      </c>
      <c r="E3" s="8">
        <v>1.617</v>
      </c>
      <c r="F3" s="7">
        <v>26.49</v>
      </c>
    </row>
    <row r="4" spans="1:6">
      <c r="A4" s="5" t="s">
        <v>8</v>
      </c>
      <c r="B4" s="5"/>
      <c r="C4" s="5">
        <f>SUM(C3:C3)</f>
        <v>606.56</v>
      </c>
      <c r="D4" s="5">
        <f>SUM(D3:D3)</f>
        <v>1637.713</v>
      </c>
      <c r="E4" s="6">
        <f>F4/D4*100</f>
        <v>1.61749952525259</v>
      </c>
      <c r="F4" s="5">
        <f>SUM(F3:F3)</f>
        <v>26.49</v>
      </c>
    </row>
    <row r="5" ht="13" customHeight="1" spans="1:6">
      <c r="A5" s="7" t="s">
        <v>9</v>
      </c>
      <c r="B5" s="9">
        <v>2</v>
      </c>
      <c r="C5" s="9">
        <v>2082.745</v>
      </c>
      <c r="D5" s="9">
        <v>5623.411</v>
      </c>
      <c r="E5" s="10">
        <v>1.40893134078231</v>
      </c>
      <c r="F5" s="9">
        <v>79.23</v>
      </c>
    </row>
    <row r="6" spans="1:6">
      <c r="A6" s="5" t="s">
        <v>8</v>
      </c>
      <c r="B6" s="11"/>
      <c r="C6" s="9">
        <v>2082.745</v>
      </c>
      <c r="D6" s="9">
        <v>5623.411</v>
      </c>
      <c r="E6" s="10">
        <v>1.40893134078231</v>
      </c>
      <c r="F6" s="9">
        <v>79.23</v>
      </c>
    </row>
    <row r="7" spans="1:6">
      <c r="A7" s="7" t="s">
        <v>10</v>
      </c>
      <c r="B7" s="7">
        <v>3</v>
      </c>
      <c r="C7" s="7">
        <v>1497.875</v>
      </c>
      <c r="D7" s="7">
        <v>4044.262</v>
      </c>
      <c r="E7" s="8">
        <v>0.715</v>
      </c>
      <c r="F7" s="7">
        <v>28.911</v>
      </c>
    </row>
    <row r="8" spans="1:6">
      <c r="A8" s="7" t="s">
        <v>10</v>
      </c>
      <c r="B8" s="7">
        <v>4</v>
      </c>
      <c r="C8" s="7">
        <v>2659.746</v>
      </c>
      <c r="D8" s="7">
        <v>7148.172</v>
      </c>
      <c r="E8" s="8">
        <v>0.874391382859842</v>
      </c>
      <c r="F8" s="7">
        <v>62.503</v>
      </c>
    </row>
    <row r="9" spans="1:6">
      <c r="A9" s="5" t="s">
        <v>8</v>
      </c>
      <c r="B9" s="7"/>
      <c r="C9" s="7">
        <f>SUM(C7:C8)</f>
        <v>4157.621</v>
      </c>
      <c r="D9" s="7">
        <f>SUM(D7:D8)</f>
        <v>11192.434</v>
      </c>
      <c r="E9" s="8">
        <f>F9/D9*100</f>
        <v>0.816748171130605</v>
      </c>
      <c r="F9" s="7">
        <f>SUM(F7:F8)</f>
        <v>91.414</v>
      </c>
    </row>
    <row r="10" spans="1:6">
      <c r="A10" s="12" t="s">
        <v>11</v>
      </c>
      <c r="B10" s="12"/>
      <c r="C10" s="12">
        <f>C4+C6+C9</f>
        <v>6846.926</v>
      </c>
      <c r="D10" s="12">
        <f>D4+D6+D9</f>
        <v>18453.558</v>
      </c>
      <c r="E10" s="13">
        <f>F10/D10*100</f>
        <v>1.06827095349309</v>
      </c>
      <c r="F10" s="12">
        <f>F4+F6+F9</f>
        <v>197.134</v>
      </c>
    </row>
    <row r="11" spans="1:6">
      <c r="A11" s="14"/>
      <c r="B11" s="14"/>
      <c r="C11" s="14"/>
      <c r="D11" s="14"/>
      <c r="E11" s="15"/>
      <c r="F11" s="14"/>
    </row>
    <row r="12" spans="1:6">
      <c r="A12" s="14"/>
      <c r="B12" s="14"/>
      <c r="C12" s="14"/>
      <c r="D12" s="14"/>
      <c r="E12" s="15"/>
      <c r="F12" s="14"/>
    </row>
    <row r="13" spans="1:6">
      <c r="A13" s="14"/>
      <c r="B13" s="14"/>
      <c r="C13" s="14"/>
      <c r="D13" s="14"/>
      <c r="E13" s="15"/>
      <c r="F13" s="14"/>
    </row>
    <row r="14" spans="1:6">
      <c r="A14" s="16"/>
      <c r="B14" s="16"/>
      <c r="C14" s="16"/>
      <c r="D14" s="16"/>
      <c r="E14" s="17"/>
      <c r="F14" s="16"/>
    </row>
    <row r="15" spans="1:6">
      <c r="A15" s="16"/>
      <c r="B15" s="16"/>
      <c r="C15" s="16"/>
      <c r="D15" s="16"/>
      <c r="E15" s="17"/>
      <c r="F15" s="16"/>
    </row>
    <row r="16" spans="1:6">
      <c r="A16" s="16"/>
      <c r="B16" s="16"/>
      <c r="C16" s="16"/>
      <c r="D16" s="16"/>
      <c r="E16" s="17"/>
      <c r="F16" s="16"/>
    </row>
    <row r="17" spans="1:6">
      <c r="A17" s="16"/>
      <c r="B17" s="16"/>
      <c r="C17" s="16"/>
      <c r="D17" s="16"/>
      <c r="E17" s="17"/>
      <c r="F17" s="16"/>
    </row>
    <row r="18" spans="1:6">
      <c r="A18" s="16"/>
      <c r="B18" s="16"/>
      <c r="C18" s="16"/>
      <c r="D18" s="16"/>
      <c r="E18" s="17"/>
      <c r="F18" s="16"/>
    </row>
    <row r="19" spans="1:6">
      <c r="A19" s="16"/>
      <c r="B19" s="16"/>
      <c r="C19" s="16"/>
      <c r="D19" s="16"/>
      <c r="E19" s="17"/>
      <c r="F19" s="16"/>
    </row>
    <row r="20" spans="1:6">
      <c r="A20" s="18"/>
      <c r="B20" s="18"/>
      <c r="C20" s="18"/>
      <c r="D20" s="18"/>
      <c r="E20" s="19"/>
      <c r="F20" s="18"/>
    </row>
    <row r="21" spans="1:6">
      <c r="A21" s="18"/>
      <c r="B21" s="18"/>
      <c r="C21" s="18"/>
      <c r="D21" s="18"/>
      <c r="E21" s="19"/>
      <c r="F21" s="18"/>
    </row>
    <row r="22" spans="1:6">
      <c r="A22" s="20"/>
      <c r="B22" s="18"/>
      <c r="C22" s="20"/>
      <c r="D22" s="20"/>
      <c r="E22" s="21"/>
      <c r="F22" s="20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2026-09-24T10:35:11Z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