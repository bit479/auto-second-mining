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B:\2026年采矿厂工作\采矿厂\2026地质生产数据\北部山头2026\北部山头3970平台2026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<sst xmlns="http://schemas.openxmlformats.org/spreadsheetml/2006/main" count="223" uniqueCount="27">
  <si>
    <t>3970平台 0801炮孔数据报告</t>
  </si>
  <si>
    <t>类型</t>
  </si>
  <si>
    <t>体号</t>
  </si>
  <si>
    <t>体积</t>
  </si>
  <si>
    <t>重量（t）</t>
  </si>
  <si>
    <t>平均品位(Au)</t>
  </si>
  <si>
    <t>金属量（百克）</t>
  </si>
  <si>
    <t>3.000-999.000</t>
  </si>
  <si>
    <t>小计</t>
  </si>
  <si>
    <t>1.500-3.000</t>
  </si>
  <si>
    <t>1.000-1.500</t>
  </si>
  <si>
    <t>0.500-1.000</t>
  </si>
  <si>
    <t>总计</t>
  </si>
  <si>
    <t>3970平台 0810炮孔数据报告</t>
  </si>
  <si>
    <t>3970平台 0818炮孔数据报告</t>
  </si>
  <si>
    <t>3970平台 0822炮孔数据报告</t>
  </si>
  <si>
    <t>3970平台 0830炮孔数据报告</t>
  </si>
  <si>
    <t>3970平台 0902炮孔数据报告</t>
  </si>
  <si>
    <t>3970平台 0903炮孔数据报告</t>
  </si>
  <si>
    <t>3970平台 0913炮孔数据报告</t>
  </si>
  <si>
    <t>3970平台 0914炮孔数据报告</t>
  </si>
  <si>
    <t>北部山头3970平台 0918炮孔数据报告</t>
  </si>
  <si>
    <t>北部山头3970平台 0923炮孔数据报告</t>
  </si>
  <si>
    <t>北部山头3970平台 0924炮孔数据报告</t>
  </si>
  <si>
    <t>北部山头3970平台1002-2炮孔数据报告</t>
  </si>
  <si>
    <t>北部山头3970平台 1004炮孔数据报告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</si>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</sst>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</font>
    <font>
      <sz val="11"/>
      <color theme="1"/>
      <name val="等线"/>
      <charset val="134"/>
    </font>
    <font>
      <b/>
      <sz val="10"/>
      <color theme="1"/>
      <name val="等线"/>
      <charset val="134"/>
      <scheme val="minor"/>
    </font>
    <font>
      <sz val="11"/>
      <color rgb="FF000000"/>
      <name val="等线"/>
      <charset val="134"/>
    </font>
    <font>
      <b/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6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2" fillId="0" borderId="3" xfId="0" applyFont="1" applyFill="1" applyBorder="1" applyAlignment="1"/>
    <xf numFmtId="0" fontId="2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176" fontId="2" fillId="0" borderId="4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0" fillId="0" borderId="1" xfId="0" applyNumberFormat="1" applyBorder="1" applyAlignment="1"/>
    <xf numFmtId="176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6" fillId="0" borderId="1" xfId="49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6"/>
  <sheetViews>
    <sheetView tabSelected="1" topLeftCell="A139" workbookViewId="0">
      <selection activeCell="A154" sqref="A154:F166"/>
    </sheetView>
  </sheetViews>
  <sheetFormatPr defaultColWidth="18.5833333333333" defaultRowHeight="13.8" outlineLevelCol="5"/>
  <cols>
    <col min="1" max="1" width="21" customWidth="1"/>
  </cols>
  <sheetData>
    <row r="1" spans="1:6">
      <c r="A1" s="1" t="s">
        <v>0</v>
      </c>
      <c r="B1" s="2"/>
      <c r="C1" s="2"/>
      <c r="D1" s="2"/>
      <c r="E1" s="2"/>
      <c r="F1" s="3"/>
    </row>
    <row r="2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>
      <c r="A3" s="4" t="s">
        <v>7</v>
      </c>
      <c r="B3" s="5">
        <v>1</v>
      </c>
      <c r="C3" s="4">
        <v>111.976</v>
      </c>
      <c r="D3" s="4">
        <v>302.335</v>
      </c>
      <c r="E3" s="4">
        <v>8.01</v>
      </c>
      <c r="F3" s="4">
        <v>24.217</v>
      </c>
    </row>
    <row r="4" spans="1:6">
      <c r="A4" s="4" t="s">
        <v>8</v>
      </c>
      <c r="B4" s="6"/>
      <c r="C4" s="4">
        <f t="shared" ref="C4:F4" si="0">SUM(C3:C3)</f>
        <v>111.976</v>
      </c>
      <c r="D4" s="4">
        <f t="shared" si="0"/>
        <v>302.335</v>
      </c>
      <c r="E4" s="7">
        <f t="shared" ref="E4:E9" si="1">F4/D4*100</f>
        <v>8.00998891957597</v>
      </c>
      <c r="F4" s="4">
        <f t="shared" si="0"/>
        <v>24.217</v>
      </c>
    </row>
    <row r="5" spans="1:6">
      <c r="A5" s="4" t="s">
        <v>9</v>
      </c>
      <c r="B5" s="5">
        <v>2</v>
      </c>
      <c r="C5" s="4">
        <v>856.879</v>
      </c>
      <c r="D5" s="4">
        <v>2313.573</v>
      </c>
      <c r="E5" s="4">
        <v>1.76</v>
      </c>
      <c r="F5" s="4">
        <v>40.728</v>
      </c>
    </row>
    <row r="6" spans="1:6">
      <c r="A6" s="4" t="s">
        <v>8</v>
      </c>
      <c r="B6" s="6"/>
      <c r="C6" s="4">
        <f t="shared" ref="C6:F6" si="2">SUM(C5:C5)</f>
        <v>856.879</v>
      </c>
      <c r="D6" s="4">
        <f t="shared" si="2"/>
        <v>2313.573</v>
      </c>
      <c r="E6" s="7">
        <f t="shared" si="1"/>
        <v>1.76039398800038</v>
      </c>
      <c r="F6" s="4">
        <f t="shared" si="2"/>
        <v>40.728</v>
      </c>
    </row>
    <row r="7" spans="1:6">
      <c r="A7" s="4" t="s">
        <v>10</v>
      </c>
      <c r="B7" s="5">
        <v>3</v>
      </c>
      <c r="C7" s="4">
        <v>578.79</v>
      </c>
      <c r="D7" s="4">
        <v>1562.733</v>
      </c>
      <c r="E7" s="4">
        <v>1.47875548798163</v>
      </c>
      <c r="F7" s="4">
        <v>23.109</v>
      </c>
    </row>
    <row r="8" spans="1:6">
      <c r="A8" s="4" t="s">
        <v>10</v>
      </c>
      <c r="B8" s="5">
        <v>4</v>
      </c>
      <c r="C8" s="4">
        <v>666.746</v>
      </c>
      <c r="D8" s="4">
        <v>1800.214</v>
      </c>
      <c r="E8" s="7">
        <v>1.485</v>
      </c>
      <c r="F8" s="4">
        <v>26.728</v>
      </c>
    </row>
    <row r="9" spans="1:6">
      <c r="A9" s="4" t="s">
        <v>8</v>
      </c>
      <c r="B9" s="4"/>
      <c r="C9" s="4">
        <f t="shared" ref="C9:F9" si="3">SUM(C7:C8)</f>
        <v>1245.536</v>
      </c>
      <c r="D9" s="4">
        <f t="shared" si="3"/>
        <v>3362.947</v>
      </c>
      <c r="E9" s="7">
        <f t="shared" si="1"/>
        <v>1.48194425900854</v>
      </c>
      <c r="F9" s="4">
        <f t="shared" si="3"/>
        <v>49.837</v>
      </c>
    </row>
    <row r="10" spans="1:6">
      <c r="A10" s="4" t="s">
        <v>11</v>
      </c>
      <c r="B10" s="5">
        <v>5</v>
      </c>
      <c r="C10" s="4">
        <v>1045.112</v>
      </c>
      <c r="D10" s="4">
        <v>2821.803</v>
      </c>
      <c r="E10" s="4">
        <v>0.841</v>
      </c>
      <c r="F10" s="4">
        <v>23.733</v>
      </c>
    </row>
    <row r="11" spans="1:6">
      <c r="A11" s="4" t="s">
        <v>11</v>
      </c>
      <c r="B11" s="5">
        <v>6</v>
      </c>
      <c r="C11" s="4">
        <v>3095.708</v>
      </c>
      <c r="D11" s="4">
        <v>8358.411</v>
      </c>
      <c r="E11" s="7">
        <v>0.728</v>
      </c>
      <c r="F11" s="4">
        <v>60.833</v>
      </c>
    </row>
    <row r="12" spans="1:6">
      <c r="A12" s="4" t="s">
        <v>11</v>
      </c>
      <c r="B12" s="5">
        <v>7</v>
      </c>
      <c r="C12" s="4">
        <v>276.649</v>
      </c>
      <c r="D12" s="4">
        <v>746.952</v>
      </c>
      <c r="E12" s="7">
        <v>0.72</v>
      </c>
      <c r="F12" s="4">
        <v>5.378</v>
      </c>
    </row>
    <row r="13" spans="1:6">
      <c r="A13" s="8" t="s">
        <v>11</v>
      </c>
      <c r="B13" s="8">
        <v>8</v>
      </c>
      <c r="C13" s="8">
        <v>500.845</v>
      </c>
      <c r="D13" s="8">
        <v>1352.28</v>
      </c>
      <c r="E13" s="8">
        <v>0.55</v>
      </c>
      <c r="F13" s="8">
        <v>7.438</v>
      </c>
    </row>
    <row r="14" spans="1:6">
      <c r="A14" s="8" t="s">
        <v>11</v>
      </c>
      <c r="B14" s="8">
        <v>9</v>
      </c>
      <c r="C14" s="8">
        <v>337.737</v>
      </c>
      <c r="D14" s="8">
        <v>911.891</v>
      </c>
      <c r="E14" s="8">
        <v>0.812</v>
      </c>
      <c r="F14" s="8">
        <v>7.401</v>
      </c>
    </row>
    <row r="15" spans="1:6">
      <c r="A15" s="8" t="s">
        <v>8</v>
      </c>
      <c r="B15" s="8"/>
      <c r="C15" s="8">
        <f t="shared" ref="C15:F15" si="4">SUM(C10:C14)</f>
        <v>5256.051</v>
      </c>
      <c r="D15" s="8">
        <f t="shared" si="4"/>
        <v>14191.337</v>
      </c>
      <c r="E15" s="9">
        <f>F15/D15*100</f>
        <v>0.738358901631326</v>
      </c>
      <c r="F15" s="8">
        <f t="shared" si="4"/>
        <v>104.783</v>
      </c>
    </row>
    <row r="16" spans="1:6">
      <c r="A16" s="8" t="s">
        <v>12</v>
      </c>
      <c r="B16" s="8"/>
      <c r="C16" s="8">
        <f t="shared" ref="C16:F16" si="5">C4+C6+C9+C15</f>
        <v>7470.442</v>
      </c>
      <c r="D16" s="8">
        <f t="shared" si="5"/>
        <v>20170.192</v>
      </c>
      <c r="E16" s="9">
        <f>F16/D16*100</f>
        <v>1.08856177472183</v>
      </c>
      <c r="F16" s="8">
        <f t="shared" si="5"/>
        <v>219.565</v>
      </c>
    </row>
    <row r="18" spans="1:6">
      <c r="A18" s="10" t="s">
        <v>13</v>
      </c>
      <c r="B18" s="11"/>
      <c r="C18" s="11"/>
      <c r="D18" s="11"/>
      <c r="E18" s="11"/>
      <c r="F18" s="12"/>
    </row>
    <row r="19" spans="1:6">
      <c r="A19" s="13" t="s">
        <v>1</v>
      </c>
      <c r="B19" s="13" t="s">
        <v>2</v>
      </c>
      <c r="C19" s="13" t="s">
        <v>3</v>
      </c>
      <c r="D19" s="13" t="s">
        <v>4</v>
      </c>
      <c r="E19" s="13" t="s">
        <v>5</v>
      </c>
      <c r="F19" s="13" t="s">
        <v>6</v>
      </c>
    </row>
    <row r="20" spans="1:6">
      <c r="A20" s="13" t="s">
        <v>9</v>
      </c>
      <c r="B20" s="13">
        <v>1</v>
      </c>
      <c r="C20" s="13">
        <v>133.025</v>
      </c>
      <c r="D20" s="13">
        <v>359.167</v>
      </c>
      <c r="E20" s="14">
        <v>1.52</v>
      </c>
      <c r="F20" s="13">
        <v>5.459</v>
      </c>
    </row>
    <row r="21" spans="1:6">
      <c r="A21" s="13" t="s">
        <v>9</v>
      </c>
      <c r="B21" s="13">
        <v>2</v>
      </c>
      <c r="C21" s="13">
        <v>314.006</v>
      </c>
      <c r="D21" s="13">
        <v>847.816</v>
      </c>
      <c r="E21" s="14">
        <v>2.385</v>
      </c>
      <c r="F21" s="13">
        <v>20.216</v>
      </c>
    </row>
    <row r="22" spans="1:6">
      <c r="A22" s="13" t="s">
        <v>8</v>
      </c>
      <c r="B22" s="13"/>
      <c r="C22" s="13">
        <f t="shared" ref="C22:F22" si="6">SUM(C20:C21)</f>
        <v>447.031</v>
      </c>
      <c r="D22" s="13">
        <f t="shared" si="6"/>
        <v>1206.983</v>
      </c>
      <c r="E22" s="14">
        <f>F22/D22*100</f>
        <v>2.12720477421803</v>
      </c>
      <c r="F22" s="13">
        <f t="shared" si="6"/>
        <v>25.675</v>
      </c>
    </row>
    <row r="23" spans="1:6">
      <c r="A23" s="13" t="s">
        <v>10</v>
      </c>
      <c r="B23" s="13">
        <v>3</v>
      </c>
      <c r="C23" s="13">
        <v>309.782</v>
      </c>
      <c r="D23" s="13">
        <v>836.412</v>
      </c>
      <c r="E23" s="14">
        <v>1.147</v>
      </c>
      <c r="F23" s="13">
        <v>9.593</v>
      </c>
    </row>
    <row r="24" spans="1:6">
      <c r="A24" s="13" t="s">
        <v>8</v>
      </c>
      <c r="B24" s="13"/>
      <c r="C24" s="13">
        <f t="shared" ref="C24:F24" si="7">SUM(C23:C23)</f>
        <v>309.782</v>
      </c>
      <c r="D24" s="13">
        <f t="shared" si="7"/>
        <v>836.412</v>
      </c>
      <c r="E24" s="14">
        <f t="shared" ref="E24:E29" si="8">F24/D24*100</f>
        <v>1.14692280837673</v>
      </c>
      <c r="F24" s="13">
        <f t="shared" si="7"/>
        <v>9.593</v>
      </c>
    </row>
    <row r="25" spans="1:6">
      <c r="A25" s="13" t="s">
        <v>11</v>
      </c>
      <c r="B25" s="13">
        <v>4</v>
      </c>
      <c r="C25" s="13">
        <v>239.941</v>
      </c>
      <c r="D25" s="13">
        <v>647.841</v>
      </c>
      <c r="E25" s="14">
        <v>0.775</v>
      </c>
      <c r="F25" s="13">
        <v>5.021</v>
      </c>
    </row>
    <row r="26" spans="1:6">
      <c r="A26" s="13" t="s">
        <v>11</v>
      </c>
      <c r="B26" s="13">
        <v>5</v>
      </c>
      <c r="C26" s="13">
        <v>765.017</v>
      </c>
      <c r="D26" s="13">
        <v>2065.546</v>
      </c>
      <c r="E26" s="14">
        <v>0.835</v>
      </c>
      <c r="F26" s="13">
        <v>17.246</v>
      </c>
    </row>
    <row r="27" spans="1:6">
      <c r="A27" s="13" t="s">
        <v>11</v>
      </c>
      <c r="B27" s="13">
        <v>6</v>
      </c>
      <c r="C27" s="13">
        <v>3437.234</v>
      </c>
      <c r="D27" s="13">
        <v>9280.531</v>
      </c>
      <c r="E27" s="14">
        <v>0.696</v>
      </c>
      <c r="F27" s="13">
        <v>64.611</v>
      </c>
    </row>
    <row r="28" spans="1:6">
      <c r="A28" s="13" t="s">
        <v>8</v>
      </c>
      <c r="B28" s="13"/>
      <c r="C28" s="13">
        <f t="shared" ref="C28:F28" si="9">SUM(C25:C27)</f>
        <v>4442.192</v>
      </c>
      <c r="D28" s="13">
        <f t="shared" si="9"/>
        <v>11993.918</v>
      </c>
      <c r="E28" s="14">
        <f t="shared" si="8"/>
        <v>0.72435045829061</v>
      </c>
      <c r="F28" s="13">
        <f t="shared" si="9"/>
        <v>86.878</v>
      </c>
    </row>
    <row r="29" spans="1:6">
      <c r="A29" s="13" t="s">
        <v>12</v>
      </c>
      <c r="B29" s="13"/>
      <c r="C29" s="13">
        <f t="shared" ref="C29:F29" si="10">C22+C24+C28</f>
        <v>5199.005</v>
      </c>
      <c r="D29" s="13">
        <f t="shared" si="10"/>
        <v>14037.313</v>
      </c>
      <c r="E29" s="14">
        <f t="shared" si="8"/>
        <v>0.870152286267322</v>
      </c>
      <c r="F29" s="13">
        <f t="shared" si="10"/>
        <v>122.146</v>
      </c>
    </row>
    <row r="30" spans="1:6">
      <c r="A30" s="15"/>
      <c r="B30" s="15"/>
      <c r="C30" s="15"/>
      <c r="D30" s="15"/>
      <c r="E30" s="15"/>
      <c r="F30" s="15"/>
    </row>
    <row r="31" spans="1:6">
      <c r="A31" s="10" t="s">
        <v>14</v>
      </c>
      <c r="B31" s="11"/>
      <c r="C31" s="11"/>
      <c r="D31" s="11"/>
      <c r="E31" s="11"/>
      <c r="F31" s="12"/>
    </row>
    <row r="32" spans="1:6">
      <c r="A32" s="13" t="s">
        <v>1</v>
      </c>
      <c r="B32" s="13" t="s">
        <v>2</v>
      </c>
      <c r="C32" s="13" t="s">
        <v>3</v>
      </c>
      <c r="D32" s="13" t="s">
        <v>4</v>
      </c>
      <c r="E32" s="13" t="s">
        <v>5</v>
      </c>
      <c r="F32" s="13" t="s">
        <v>6</v>
      </c>
    </row>
    <row r="33" spans="1:6">
      <c r="A33" s="13" t="s">
        <v>11</v>
      </c>
      <c r="B33" s="13">
        <v>1</v>
      </c>
      <c r="C33" s="13">
        <v>247.786</v>
      </c>
      <c r="D33" s="13">
        <v>669.022</v>
      </c>
      <c r="E33" s="16">
        <v>0.53</v>
      </c>
      <c r="F33" s="13">
        <v>3.546</v>
      </c>
    </row>
    <row r="34" spans="1:6">
      <c r="A34" s="13" t="s">
        <v>11</v>
      </c>
      <c r="B34" s="13">
        <v>2</v>
      </c>
      <c r="C34" s="13">
        <v>241.496</v>
      </c>
      <c r="D34" s="13">
        <v>652.038</v>
      </c>
      <c r="E34" s="16">
        <v>0.665</v>
      </c>
      <c r="F34" s="13">
        <v>4.338</v>
      </c>
    </row>
    <row r="35" spans="1:6">
      <c r="A35" s="13" t="s">
        <v>8</v>
      </c>
      <c r="B35" s="13"/>
      <c r="C35" s="13">
        <f t="shared" ref="C35:F35" si="11">SUM(C33:C34)</f>
        <v>489.282</v>
      </c>
      <c r="D35" s="13">
        <f t="shared" si="11"/>
        <v>1321.06</v>
      </c>
      <c r="E35" s="16">
        <f>F35/D35*100</f>
        <v>0.596793484020408</v>
      </c>
      <c r="F35" s="13">
        <f t="shared" si="11"/>
        <v>7.884</v>
      </c>
    </row>
    <row r="36" spans="1:6">
      <c r="A36" s="13" t="s">
        <v>12</v>
      </c>
      <c r="B36" s="13"/>
      <c r="C36" s="13">
        <f t="shared" ref="C36:F36" si="12">C35</f>
        <v>489.282</v>
      </c>
      <c r="D36" s="13">
        <f t="shared" si="12"/>
        <v>1321.06</v>
      </c>
      <c r="E36" s="16">
        <f>F36/D36*100</f>
        <v>0.596793484020408</v>
      </c>
      <c r="F36" s="13">
        <f t="shared" si="12"/>
        <v>7.884</v>
      </c>
    </row>
    <row r="38" spans="1:6">
      <c r="A38" s="10" t="s">
        <v>15</v>
      </c>
      <c r="B38" s="11"/>
      <c r="C38" s="11"/>
      <c r="D38" s="11"/>
      <c r="E38" s="11"/>
      <c r="F38" s="12"/>
    </row>
    <row r="39" spans="1:6">
      <c r="A39" s="13" t="s">
        <v>1</v>
      </c>
      <c r="B39" s="13" t="s">
        <v>2</v>
      </c>
      <c r="C39" s="13" t="s">
        <v>3</v>
      </c>
      <c r="D39" s="13" t="s">
        <v>4</v>
      </c>
      <c r="E39" s="13" t="s">
        <v>5</v>
      </c>
      <c r="F39" s="13" t="s">
        <v>6</v>
      </c>
    </row>
    <row r="40" spans="1:6">
      <c r="A40" s="13" t="s">
        <v>10</v>
      </c>
      <c r="B40" s="13">
        <v>1</v>
      </c>
      <c r="C40" s="13">
        <v>922.545</v>
      </c>
      <c r="D40" s="13">
        <v>2490.872</v>
      </c>
      <c r="E40" s="16">
        <v>1.147</v>
      </c>
      <c r="F40" s="13">
        <v>28.573</v>
      </c>
    </row>
    <row r="41" spans="1:6">
      <c r="A41" s="13" t="s">
        <v>10</v>
      </c>
      <c r="B41" s="13">
        <v>2</v>
      </c>
      <c r="C41" s="13">
        <v>203.074</v>
      </c>
      <c r="D41" s="13">
        <v>548.299</v>
      </c>
      <c r="E41" s="16">
        <v>1.17</v>
      </c>
      <c r="F41" s="13">
        <v>6.415</v>
      </c>
    </row>
    <row r="42" spans="1:6">
      <c r="A42" s="13" t="s">
        <v>8</v>
      </c>
      <c r="B42" s="13"/>
      <c r="C42" s="13">
        <f t="shared" ref="C42:F42" si="13">SUM(C40:C41)</f>
        <v>1125.619</v>
      </c>
      <c r="D42" s="13">
        <f t="shared" si="13"/>
        <v>3039.171</v>
      </c>
      <c r="E42" s="16">
        <f t="shared" ref="E42:E46" si="14">F42/D42*100</f>
        <v>1.15123499138416</v>
      </c>
      <c r="F42" s="13">
        <f t="shared" si="13"/>
        <v>34.988</v>
      </c>
    </row>
    <row r="43" spans="1:6">
      <c r="A43" s="13" t="s">
        <v>11</v>
      </c>
      <c r="B43" s="13">
        <v>3</v>
      </c>
      <c r="C43" s="13">
        <v>2243.35</v>
      </c>
      <c r="D43" s="13">
        <v>6057.044</v>
      </c>
      <c r="E43" s="16">
        <v>0.675</v>
      </c>
      <c r="F43" s="13">
        <v>40.913</v>
      </c>
    </row>
    <row r="44" spans="1:6">
      <c r="A44" s="13" t="s">
        <v>11</v>
      </c>
      <c r="B44" s="13">
        <v>4</v>
      </c>
      <c r="C44" s="13">
        <v>3241.349</v>
      </c>
      <c r="D44" s="13">
        <v>8751.641</v>
      </c>
      <c r="E44" s="16">
        <v>0.762</v>
      </c>
      <c r="F44" s="13">
        <v>66.715</v>
      </c>
    </row>
    <row r="45" spans="1:6">
      <c r="A45" s="13" t="s">
        <v>8</v>
      </c>
      <c r="B45" s="13"/>
      <c r="C45" s="13">
        <f t="shared" ref="C45:F45" si="15">SUM(C43:C44)</f>
        <v>5484.699</v>
      </c>
      <c r="D45" s="13">
        <f t="shared" si="15"/>
        <v>14808.685</v>
      </c>
      <c r="E45" s="16">
        <f t="shared" si="14"/>
        <v>0.726789718330831</v>
      </c>
      <c r="F45" s="13">
        <f t="shared" si="15"/>
        <v>107.628</v>
      </c>
    </row>
    <row r="46" spans="1:6">
      <c r="A46" s="13" t="s">
        <v>12</v>
      </c>
      <c r="B46" s="13"/>
      <c r="C46" s="13">
        <f t="shared" ref="C46:F46" si="16">C42+C45</f>
        <v>6610.318</v>
      </c>
      <c r="D46" s="13">
        <f t="shared" si="16"/>
        <v>17847.856</v>
      </c>
      <c r="E46" s="16">
        <f t="shared" si="14"/>
        <v>0.799065165025984</v>
      </c>
      <c r="F46" s="13">
        <f t="shared" si="16"/>
        <v>142.616</v>
      </c>
    </row>
    <row r="48" spans="1:6">
      <c r="A48" s="10" t="s">
        <v>16</v>
      </c>
      <c r="B48" s="11"/>
      <c r="C48" s="11"/>
      <c r="D48" s="11"/>
      <c r="E48" s="11"/>
      <c r="F48" s="12"/>
    </row>
    <row r="49" spans="1:6">
      <c r="A49" s="13" t="s">
        <v>1</v>
      </c>
      <c r="B49" s="13" t="s">
        <v>2</v>
      </c>
      <c r="C49" s="13" t="s">
        <v>3</v>
      </c>
      <c r="D49" s="13" t="s">
        <v>4</v>
      </c>
      <c r="E49" s="13" t="s">
        <v>5</v>
      </c>
      <c r="F49" s="13" t="s">
        <v>6</v>
      </c>
    </row>
    <row r="50" spans="1:6">
      <c r="A50" s="13" t="s">
        <v>7</v>
      </c>
      <c r="B50" s="13">
        <v>1</v>
      </c>
      <c r="C50" s="13">
        <v>284.369</v>
      </c>
      <c r="D50" s="13">
        <v>767.796</v>
      </c>
      <c r="E50" s="16">
        <v>3.3</v>
      </c>
      <c r="F50" s="13">
        <v>25.337</v>
      </c>
    </row>
    <row r="51" spans="1:6">
      <c r="A51" s="13" t="s">
        <v>8</v>
      </c>
      <c r="B51" s="13"/>
      <c r="C51" s="13">
        <f t="shared" ref="C51:F51" si="17">SUM(C50:C50)</f>
        <v>284.369</v>
      </c>
      <c r="D51" s="13">
        <f t="shared" si="17"/>
        <v>767.796</v>
      </c>
      <c r="E51" s="16">
        <f>F51/D51*100</f>
        <v>3.299965094895</v>
      </c>
      <c r="F51" s="13">
        <f t="shared" si="17"/>
        <v>25.337</v>
      </c>
    </row>
    <row r="52" spans="1:6">
      <c r="A52" s="13" t="s">
        <v>10</v>
      </c>
      <c r="B52" s="13">
        <v>2</v>
      </c>
      <c r="C52" s="13">
        <v>2656.626</v>
      </c>
      <c r="D52" s="13">
        <v>7172.89</v>
      </c>
      <c r="E52" s="16">
        <v>1.151</v>
      </c>
      <c r="F52" s="13">
        <v>82.546</v>
      </c>
    </row>
    <row r="53" spans="1:6">
      <c r="A53" s="13" t="s">
        <v>8</v>
      </c>
      <c r="B53" s="13"/>
      <c r="C53" s="13">
        <f t="shared" ref="C53:F53" si="18">SUM(C52:C52)</f>
        <v>2656.626</v>
      </c>
      <c r="D53" s="13">
        <f t="shared" si="18"/>
        <v>7172.89</v>
      </c>
      <c r="E53" s="16">
        <f t="shared" ref="E53:E58" si="19">F53/D53*100</f>
        <v>1.15080532393498</v>
      </c>
      <c r="F53" s="13">
        <f t="shared" si="18"/>
        <v>82.546</v>
      </c>
    </row>
    <row r="54" spans="1:6">
      <c r="A54" s="13" t="s">
        <v>11</v>
      </c>
      <c r="B54" s="13">
        <v>3</v>
      </c>
      <c r="C54" s="13">
        <v>297.998</v>
      </c>
      <c r="D54" s="13">
        <v>804.595</v>
      </c>
      <c r="E54" s="16">
        <v>0.87</v>
      </c>
      <c r="F54" s="13">
        <v>7</v>
      </c>
    </row>
    <row r="55" spans="1:6">
      <c r="A55" s="13" t="s">
        <v>11</v>
      </c>
      <c r="B55" s="13">
        <v>4</v>
      </c>
      <c r="C55" s="13">
        <v>4950.725</v>
      </c>
      <c r="D55" s="13">
        <v>13366.957</v>
      </c>
      <c r="E55" s="16">
        <v>0.749</v>
      </c>
      <c r="F55" s="13">
        <v>100.099</v>
      </c>
    </row>
    <row r="56" spans="1:6">
      <c r="A56" s="13" t="s">
        <v>11</v>
      </c>
      <c r="B56" s="13">
        <v>5</v>
      </c>
      <c r="C56" s="13">
        <v>156.121</v>
      </c>
      <c r="D56" s="13">
        <v>421.527</v>
      </c>
      <c r="E56" s="16">
        <v>0.97</v>
      </c>
      <c r="F56" s="13">
        <v>4.089</v>
      </c>
    </row>
    <row r="57" spans="1:6">
      <c r="A57" s="13" t="s">
        <v>8</v>
      </c>
      <c r="B57" s="13"/>
      <c r="C57" s="13">
        <f t="shared" ref="C57:F57" si="20">SUM(C54:C56)</f>
        <v>5404.844</v>
      </c>
      <c r="D57" s="13">
        <f t="shared" si="20"/>
        <v>14593.079</v>
      </c>
      <c r="E57" s="16">
        <f t="shared" si="19"/>
        <v>0.761922826567306</v>
      </c>
      <c r="F57" s="13">
        <f t="shared" si="20"/>
        <v>111.188</v>
      </c>
    </row>
    <row r="58" spans="1:6">
      <c r="A58" s="13" t="s">
        <v>12</v>
      </c>
      <c r="B58" s="13"/>
      <c r="C58" s="13">
        <f t="shared" ref="C58:F58" si="21">C51+C53+C57</f>
        <v>8345.839</v>
      </c>
      <c r="D58" s="13">
        <f t="shared" si="21"/>
        <v>22533.765</v>
      </c>
      <c r="E58" s="16">
        <f t="shared" si="19"/>
        <v>0.972189955828509</v>
      </c>
      <c r="F58" s="13">
        <f t="shared" si="21"/>
        <v>219.071</v>
      </c>
    </row>
    <row r="60" spans="1:6">
      <c r="A60" s="10" t="s">
        <v>17</v>
      </c>
      <c r="B60" s="11"/>
      <c r="C60" s="11"/>
      <c r="D60" s="11"/>
      <c r="E60" s="11"/>
      <c r="F60" s="12"/>
    </row>
    <row r="61" spans="1:6">
      <c r="A61" s="13" t="s">
        <v>1</v>
      </c>
      <c r="B61" s="13" t="s">
        <v>2</v>
      </c>
      <c r="C61" s="13" t="s">
        <v>3</v>
      </c>
      <c r="D61" s="13" t="s">
        <v>4</v>
      </c>
      <c r="E61" s="13" t="s">
        <v>5</v>
      </c>
      <c r="F61" s="13" t="s">
        <v>6</v>
      </c>
    </row>
    <row r="62" spans="1:6">
      <c r="A62" s="13" t="s">
        <v>9</v>
      </c>
      <c r="B62" s="13">
        <v>1</v>
      </c>
      <c r="C62" s="13">
        <v>382.31</v>
      </c>
      <c r="D62" s="13">
        <v>1032.238</v>
      </c>
      <c r="E62" s="16">
        <v>1.635</v>
      </c>
      <c r="F62" s="13">
        <v>16.881</v>
      </c>
    </row>
    <row r="63" spans="1:6">
      <c r="A63" s="13" t="s">
        <v>9</v>
      </c>
      <c r="B63" s="13">
        <v>2</v>
      </c>
      <c r="C63" s="13">
        <v>1084.326</v>
      </c>
      <c r="D63" s="13">
        <v>2927.68</v>
      </c>
      <c r="E63" s="16">
        <v>1.766</v>
      </c>
      <c r="F63" s="13">
        <v>51.717</v>
      </c>
    </row>
    <row r="64" spans="1:6">
      <c r="A64" s="13" t="s">
        <v>8</v>
      </c>
      <c r="B64" s="13"/>
      <c r="C64" s="13">
        <f t="shared" ref="C64:F64" si="22">SUM(C62:C63)</f>
        <v>1466.636</v>
      </c>
      <c r="D64" s="13">
        <f t="shared" si="22"/>
        <v>3959.918</v>
      </c>
      <c r="E64" s="16">
        <f t="shared" ref="E64:E70" si="23">F64/D64*100</f>
        <v>1.73230859830936</v>
      </c>
      <c r="F64" s="13">
        <f t="shared" si="22"/>
        <v>68.598</v>
      </c>
    </row>
    <row r="65" spans="1:6">
      <c r="A65" s="13" t="s">
        <v>10</v>
      </c>
      <c r="B65" s="13">
        <v>3</v>
      </c>
      <c r="C65" s="13">
        <v>2069.916</v>
      </c>
      <c r="D65" s="13">
        <v>5588.772</v>
      </c>
      <c r="E65" s="16">
        <v>1.173</v>
      </c>
      <c r="F65" s="13">
        <v>65.54</v>
      </c>
    </row>
    <row r="66" spans="1:6">
      <c r="A66" s="13" t="s">
        <v>8</v>
      </c>
      <c r="B66" s="13"/>
      <c r="C66" s="13">
        <f t="shared" ref="C66:F66" si="24">SUM(C65:C65)</f>
        <v>2069.916</v>
      </c>
      <c r="D66" s="13">
        <f t="shared" si="24"/>
        <v>5588.772</v>
      </c>
      <c r="E66" s="16">
        <f t="shared" si="23"/>
        <v>1.17270842324575</v>
      </c>
      <c r="F66" s="13">
        <f t="shared" si="24"/>
        <v>65.54</v>
      </c>
    </row>
    <row r="67" spans="1:6">
      <c r="A67" s="13" t="s">
        <v>11</v>
      </c>
      <c r="B67" s="13">
        <v>4</v>
      </c>
      <c r="C67" s="13">
        <v>282.973</v>
      </c>
      <c r="D67" s="13">
        <v>764.028</v>
      </c>
      <c r="E67" s="16">
        <v>0.52</v>
      </c>
      <c r="F67" s="13">
        <v>3.973</v>
      </c>
    </row>
    <row r="68" spans="1:6">
      <c r="A68" s="13" t="s">
        <v>11</v>
      </c>
      <c r="B68" s="13">
        <v>5</v>
      </c>
      <c r="C68" s="13">
        <v>548.822</v>
      </c>
      <c r="D68" s="13">
        <v>1481.818</v>
      </c>
      <c r="E68" s="16">
        <v>0.758</v>
      </c>
      <c r="F68" s="13">
        <v>11.229</v>
      </c>
    </row>
    <row r="69" spans="1:6">
      <c r="A69" s="13" t="s">
        <v>8</v>
      </c>
      <c r="B69" s="13"/>
      <c r="C69" s="13">
        <f t="shared" ref="C69:F69" si="25">SUM(C67:C68)</f>
        <v>831.795</v>
      </c>
      <c r="D69" s="13">
        <f t="shared" si="25"/>
        <v>2245.846</v>
      </c>
      <c r="E69" s="16">
        <f t="shared" si="23"/>
        <v>0.676894141450482</v>
      </c>
      <c r="F69" s="13">
        <f t="shared" si="25"/>
        <v>15.202</v>
      </c>
    </row>
    <row r="70" spans="1:6">
      <c r="A70" s="13" t="s">
        <v>12</v>
      </c>
      <c r="B70" s="13"/>
      <c r="C70" s="13">
        <f t="shared" ref="C70:F70" si="26">C64+C66+C69</f>
        <v>4368.347</v>
      </c>
      <c r="D70" s="13">
        <f t="shared" si="26"/>
        <v>11794.536</v>
      </c>
      <c r="E70" s="16">
        <f t="shared" si="23"/>
        <v>1.26617952584146</v>
      </c>
      <c r="F70" s="13">
        <f t="shared" si="26"/>
        <v>149.34</v>
      </c>
    </row>
    <row r="72" spans="1:6">
      <c r="A72" s="10" t="s">
        <v>18</v>
      </c>
      <c r="B72" s="11"/>
      <c r="C72" s="11"/>
      <c r="D72" s="11"/>
      <c r="E72" s="11"/>
      <c r="F72" s="12"/>
    </row>
    <row r="73" spans="1:6">
      <c r="A73" s="13" t="s">
        <v>1</v>
      </c>
      <c r="B73" s="13" t="s">
        <v>2</v>
      </c>
      <c r="C73" s="13" t="s">
        <v>3</v>
      </c>
      <c r="D73" s="13" t="s">
        <v>4</v>
      </c>
      <c r="E73" s="13" t="s">
        <v>5</v>
      </c>
      <c r="F73" s="13" t="s">
        <v>6</v>
      </c>
    </row>
    <row r="74" spans="1:6">
      <c r="A74" s="13" t="s">
        <v>9</v>
      </c>
      <c r="B74" s="13">
        <v>1</v>
      </c>
      <c r="C74" s="13">
        <v>675.886</v>
      </c>
      <c r="D74" s="13">
        <v>1824.893</v>
      </c>
      <c r="E74" s="16">
        <v>1.939</v>
      </c>
      <c r="F74" s="13">
        <v>35.394</v>
      </c>
    </row>
    <row r="75" spans="1:6">
      <c r="A75" s="13" t="s">
        <v>9</v>
      </c>
      <c r="B75" s="13">
        <v>2</v>
      </c>
      <c r="C75" s="13">
        <v>346.764</v>
      </c>
      <c r="D75" s="13">
        <v>936.262</v>
      </c>
      <c r="E75" s="16">
        <v>1.725</v>
      </c>
      <c r="F75" s="13">
        <v>16.149</v>
      </c>
    </row>
    <row r="76" spans="1:6">
      <c r="A76" s="13" t="s">
        <v>9</v>
      </c>
      <c r="B76" s="13">
        <v>3</v>
      </c>
      <c r="C76" s="13">
        <v>130.51</v>
      </c>
      <c r="D76" s="13">
        <v>352.377</v>
      </c>
      <c r="E76" s="16">
        <v>2.52</v>
      </c>
      <c r="F76" s="13">
        <v>8.88</v>
      </c>
    </row>
    <row r="77" spans="1:6">
      <c r="A77" s="13" t="s">
        <v>9</v>
      </c>
      <c r="B77" s="13">
        <v>4</v>
      </c>
      <c r="C77" s="13">
        <v>2713.289</v>
      </c>
      <c r="D77" s="13">
        <v>7325.881</v>
      </c>
      <c r="E77" s="16">
        <v>2.016</v>
      </c>
      <c r="F77" s="13">
        <v>147.681</v>
      </c>
    </row>
    <row r="78" spans="1:6">
      <c r="A78" s="13" t="s">
        <v>9</v>
      </c>
      <c r="B78" s="13">
        <v>5</v>
      </c>
      <c r="C78" s="13">
        <v>339.831</v>
      </c>
      <c r="D78" s="13">
        <v>917.544</v>
      </c>
      <c r="E78" s="16">
        <v>2.102</v>
      </c>
      <c r="F78" s="13">
        <v>19.285</v>
      </c>
    </row>
    <row r="79" spans="1:6">
      <c r="A79" s="13" t="s">
        <v>8</v>
      </c>
      <c r="B79" s="13"/>
      <c r="C79" s="13">
        <f t="shared" ref="C79:F79" si="27">SUM(C74:C78)</f>
        <v>4206.28</v>
      </c>
      <c r="D79" s="13">
        <f t="shared" si="27"/>
        <v>11356.957</v>
      </c>
      <c r="E79" s="16">
        <f>F79/D79*100</f>
        <v>2.00220006116075</v>
      </c>
      <c r="F79" s="13">
        <f t="shared" si="27"/>
        <v>227.389</v>
      </c>
    </row>
    <row r="80" spans="1:6">
      <c r="A80" s="13" t="s">
        <v>10</v>
      </c>
      <c r="B80" s="13">
        <v>6</v>
      </c>
      <c r="C80" s="13">
        <v>7084.593</v>
      </c>
      <c r="D80" s="13">
        <v>19128.4</v>
      </c>
      <c r="E80" s="16">
        <v>1.233</v>
      </c>
      <c r="F80" s="13">
        <v>235.802</v>
      </c>
    </row>
    <row r="81" spans="1:6">
      <c r="A81" s="13" t="s">
        <v>10</v>
      </c>
      <c r="B81" s="13">
        <v>7</v>
      </c>
      <c r="C81" s="13">
        <v>447.661</v>
      </c>
      <c r="D81" s="13">
        <v>1208.684</v>
      </c>
      <c r="E81" s="16">
        <v>1.172</v>
      </c>
      <c r="F81" s="13">
        <v>14.171</v>
      </c>
    </row>
    <row r="82" spans="1:6">
      <c r="A82" s="13" t="s">
        <v>10</v>
      </c>
      <c r="B82" s="13">
        <v>8</v>
      </c>
      <c r="C82" s="13">
        <v>692.089</v>
      </c>
      <c r="D82" s="13">
        <v>1868.642</v>
      </c>
      <c r="E82" s="16">
        <v>1.12</v>
      </c>
      <c r="F82" s="13">
        <v>20.929</v>
      </c>
    </row>
    <row r="83" spans="1:6">
      <c r="A83" s="13" t="s">
        <v>10</v>
      </c>
      <c r="B83" s="13">
        <v>9</v>
      </c>
      <c r="C83" s="13">
        <v>4870.294</v>
      </c>
      <c r="D83" s="13">
        <v>13149.795</v>
      </c>
      <c r="E83" s="16">
        <v>1.249</v>
      </c>
      <c r="F83" s="13">
        <v>164.262</v>
      </c>
    </row>
    <row r="84" spans="1:6">
      <c r="A84" s="13" t="s">
        <v>10</v>
      </c>
      <c r="B84" s="13">
        <v>10</v>
      </c>
      <c r="C84" s="13">
        <v>1099.586</v>
      </c>
      <c r="D84" s="13">
        <v>2968.883</v>
      </c>
      <c r="E84" s="16">
        <v>1.162</v>
      </c>
      <c r="F84" s="13">
        <v>34.509</v>
      </c>
    </row>
    <row r="85" spans="1:6">
      <c r="A85" s="13" t="s">
        <v>8</v>
      </c>
      <c r="B85" s="13"/>
      <c r="C85" s="13">
        <f t="shared" ref="C85:F85" si="28">SUM(C80:C84)</f>
        <v>14194.223</v>
      </c>
      <c r="D85" s="13">
        <f t="shared" si="28"/>
        <v>38324.404</v>
      </c>
      <c r="E85" s="16">
        <f>F85/D85*100</f>
        <v>1.22551938446323</v>
      </c>
      <c r="F85" s="13">
        <f t="shared" si="28"/>
        <v>469.673</v>
      </c>
    </row>
    <row r="86" spans="1:6">
      <c r="A86" s="13" t="s">
        <v>11</v>
      </c>
      <c r="B86" s="13">
        <v>11</v>
      </c>
      <c r="C86" s="13">
        <v>2727.061</v>
      </c>
      <c r="D86" s="13">
        <v>7349.884</v>
      </c>
      <c r="E86" s="16">
        <v>0.699</v>
      </c>
      <c r="F86" s="13">
        <v>51.407</v>
      </c>
    </row>
    <row r="87" spans="1:6">
      <c r="A87" s="13" t="s">
        <v>11</v>
      </c>
      <c r="B87" s="13">
        <v>12</v>
      </c>
      <c r="C87" s="13">
        <v>204.192</v>
      </c>
      <c r="D87" s="13">
        <v>551.319</v>
      </c>
      <c r="E87" s="16">
        <v>0.88</v>
      </c>
      <c r="F87" s="13">
        <v>4.852</v>
      </c>
    </row>
    <row r="88" spans="1:6">
      <c r="A88" s="13" t="s">
        <v>11</v>
      </c>
      <c r="B88" s="13">
        <v>13</v>
      </c>
      <c r="C88" s="13">
        <v>798.707</v>
      </c>
      <c r="D88" s="13">
        <v>2156.508</v>
      </c>
      <c r="E88" s="16">
        <v>0.772</v>
      </c>
      <c r="F88" s="13">
        <v>16.638</v>
      </c>
    </row>
    <row r="89" spans="1:6">
      <c r="A89" s="13" t="s">
        <v>11</v>
      </c>
      <c r="B89" s="13">
        <v>14</v>
      </c>
      <c r="C89" s="13">
        <v>494.888</v>
      </c>
      <c r="D89" s="13">
        <v>1336.198</v>
      </c>
      <c r="E89" s="16">
        <v>0.625</v>
      </c>
      <c r="F89" s="13">
        <v>8.355</v>
      </c>
    </row>
    <row r="90" spans="1:6">
      <c r="A90" s="13" t="s">
        <v>11</v>
      </c>
      <c r="B90" s="13">
        <v>15</v>
      </c>
      <c r="C90" s="13">
        <v>240.246</v>
      </c>
      <c r="D90" s="13">
        <v>648.664</v>
      </c>
      <c r="E90" s="16">
        <v>0.86</v>
      </c>
      <c r="F90" s="13">
        <v>5.579</v>
      </c>
    </row>
    <row r="91" spans="1:6">
      <c r="A91" s="13" t="s">
        <v>11</v>
      </c>
      <c r="B91" s="13">
        <v>16</v>
      </c>
      <c r="C91" s="13">
        <v>275.328</v>
      </c>
      <c r="D91" s="13">
        <v>743.385</v>
      </c>
      <c r="E91" s="16">
        <v>0.69</v>
      </c>
      <c r="F91" s="13">
        <v>5.129</v>
      </c>
    </row>
    <row r="92" spans="1:6">
      <c r="A92" s="13" t="s">
        <v>11</v>
      </c>
      <c r="B92" s="13">
        <v>17</v>
      </c>
      <c r="C92" s="13">
        <v>641.131</v>
      </c>
      <c r="D92" s="13">
        <v>1731.053</v>
      </c>
      <c r="E92" s="16">
        <v>0.916</v>
      </c>
      <c r="F92" s="13">
        <v>15.863</v>
      </c>
    </row>
    <row r="93" spans="1:6">
      <c r="A93" s="13" t="s">
        <v>11</v>
      </c>
      <c r="B93" s="13">
        <v>18</v>
      </c>
      <c r="C93" s="13">
        <v>824.737</v>
      </c>
      <c r="D93" s="13">
        <v>2226.79</v>
      </c>
      <c r="E93" s="16">
        <v>0.826</v>
      </c>
      <c r="F93" s="13">
        <v>18.393</v>
      </c>
    </row>
    <row r="94" spans="1:6">
      <c r="A94" s="13" t="s">
        <v>8</v>
      </c>
      <c r="B94" s="13"/>
      <c r="C94" s="13">
        <f t="shared" ref="C94:F94" si="29">SUM(C86:C93)</f>
        <v>6206.29</v>
      </c>
      <c r="D94" s="13">
        <f t="shared" si="29"/>
        <v>16743.801</v>
      </c>
      <c r="E94" s="16">
        <f>F94/D94*100</f>
        <v>0.753807334427828</v>
      </c>
      <c r="F94" s="13">
        <f t="shared" si="29"/>
        <v>126.216</v>
      </c>
    </row>
    <row r="95" spans="1:6">
      <c r="A95" s="13" t="s">
        <v>12</v>
      </c>
      <c r="B95" s="13"/>
      <c r="C95" s="13">
        <f t="shared" ref="C95:F95" si="30">C79+C85+C94</f>
        <v>24606.793</v>
      </c>
      <c r="D95" s="13">
        <f t="shared" si="30"/>
        <v>66425.162</v>
      </c>
      <c r="E95" s="16">
        <f>F95/D95*100</f>
        <v>1.23940683802924</v>
      </c>
      <c r="F95" s="13">
        <f t="shared" si="30"/>
        <v>823.278</v>
      </c>
    </row>
    <row r="96" spans="1:6">
      <c r="A96" s="17"/>
      <c r="B96" s="17"/>
      <c r="C96" s="17"/>
      <c r="D96" s="17"/>
      <c r="E96" s="17"/>
      <c r="F96" s="17"/>
    </row>
    <row r="98" spans="1:6">
      <c r="A98" s="10" t="s">
        <v>18</v>
      </c>
      <c r="B98" s="11"/>
      <c r="C98" s="11"/>
      <c r="D98" s="11"/>
      <c r="E98" s="11"/>
      <c r="F98" s="12"/>
    </row>
    <row r="99" spans="1:6">
      <c r="A99" s="13" t="s">
        <v>1</v>
      </c>
      <c r="B99" s="13" t="s">
        <v>2</v>
      </c>
      <c r="C99" s="13" t="s">
        <v>3</v>
      </c>
      <c r="D99" s="13" t="s">
        <v>4</v>
      </c>
      <c r="E99" s="13" t="s">
        <v>5</v>
      </c>
      <c r="F99" s="13" t="s">
        <v>6</v>
      </c>
    </row>
    <row r="100" spans="1:6">
      <c r="A100" s="13" t="s">
        <v>9</v>
      </c>
      <c r="B100" s="13">
        <v>1</v>
      </c>
      <c r="C100" s="13">
        <v>800.475</v>
      </c>
      <c r="D100" s="13">
        <v>2161.282</v>
      </c>
      <c r="E100" s="16">
        <v>1.542</v>
      </c>
      <c r="F100" s="13">
        <v>33.322</v>
      </c>
    </row>
    <row r="101" spans="1:6">
      <c r="A101" s="13" t="s">
        <v>8</v>
      </c>
      <c r="B101" s="13"/>
      <c r="C101" s="13">
        <f t="shared" ref="C101:F101" si="31">SUM(C100:C100)</f>
        <v>800.475</v>
      </c>
      <c r="D101" s="13">
        <f t="shared" si="31"/>
        <v>2161.282</v>
      </c>
      <c r="E101" s="16">
        <f t="shared" ref="E101:E104" si="32">F101/D101*100</f>
        <v>1.54177011607</v>
      </c>
      <c r="F101" s="13">
        <f t="shared" si="31"/>
        <v>33.322</v>
      </c>
    </row>
    <row r="102" spans="1:6">
      <c r="A102" s="13" t="s">
        <v>11</v>
      </c>
      <c r="B102" s="13">
        <v>2</v>
      </c>
      <c r="C102" s="13">
        <v>5242.388</v>
      </c>
      <c r="D102" s="13">
        <v>14146.1</v>
      </c>
      <c r="E102" s="16">
        <v>0.693</v>
      </c>
      <c r="F102" s="13">
        <v>98.097</v>
      </c>
    </row>
    <row r="103" spans="1:6">
      <c r="A103" s="13" t="s">
        <v>8</v>
      </c>
      <c r="B103" s="13"/>
      <c r="C103" s="13">
        <f t="shared" ref="C103:F103" si="33">SUM(C102:C102)</f>
        <v>5242.388</v>
      </c>
      <c r="D103" s="13">
        <f t="shared" si="33"/>
        <v>14146.1</v>
      </c>
      <c r="E103" s="16">
        <f t="shared" si="32"/>
        <v>0.693456146923887</v>
      </c>
      <c r="F103" s="13">
        <f t="shared" si="33"/>
        <v>98.097</v>
      </c>
    </row>
    <row r="104" spans="1:6">
      <c r="A104" s="13" t="s">
        <v>12</v>
      </c>
      <c r="B104" s="13"/>
      <c r="C104" s="13">
        <f t="shared" ref="C104:F104" si="34">C101+C103</f>
        <v>6042.863</v>
      </c>
      <c r="D104" s="13">
        <f t="shared" si="34"/>
        <v>16307.382</v>
      </c>
      <c r="E104" s="16">
        <f t="shared" si="32"/>
        <v>0.805886561067865</v>
      </c>
      <c r="F104" s="13">
        <f t="shared" si="34"/>
        <v>131.419</v>
      </c>
    </row>
    <row r="106" spans="1:6">
      <c r="A106" s="10" t="s">
        <v>19</v>
      </c>
      <c r="B106" s="11"/>
      <c r="C106" s="11"/>
      <c r="D106" s="11"/>
      <c r="E106" s="11"/>
      <c r="F106" s="12"/>
    </row>
    <row r="107" spans="1:6">
      <c r="A107" s="13" t="s">
        <v>1</v>
      </c>
      <c r="B107" s="13" t="s">
        <v>2</v>
      </c>
      <c r="C107" s="13" t="s">
        <v>3</v>
      </c>
      <c r="D107" s="13" t="s">
        <v>4</v>
      </c>
      <c r="E107" s="13" t="s">
        <v>5</v>
      </c>
      <c r="F107" s="13" t="s">
        <v>6</v>
      </c>
    </row>
    <row r="108" spans="1:6">
      <c r="A108" s="13" t="s">
        <v>9</v>
      </c>
      <c r="B108" s="13">
        <v>1</v>
      </c>
      <c r="C108" s="13">
        <v>403.028</v>
      </c>
      <c r="D108" s="13">
        <v>1088.176</v>
      </c>
      <c r="E108" s="16">
        <v>1.772</v>
      </c>
      <c r="F108" s="13">
        <v>19.282</v>
      </c>
    </row>
    <row r="109" spans="1:6">
      <c r="A109" s="13" t="s">
        <v>8</v>
      </c>
      <c r="B109" s="13"/>
      <c r="C109" s="13">
        <f t="shared" ref="C109:F109" si="35">SUM(C108:C108)</f>
        <v>403.028</v>
      </c>
      <c r="D109" s="13">
        <f t="shared" si="35"/>
        <v>1088.176</v>
      </c>
      <c r="E109" s="16">
        <f t="shared" ref="E109:E112" si="36">F109/D109*100</f>
        <v>1.7719560071165</v>
      </c>
      <c r="F109" s="13">
        <f t="shared" si="35"/>
        <v>19.282</v>
      </c>
    </row>
    <row r="110" spans="1:6">
      <c r="A110" s="13" t="s">
        <v>11</v>
      </c>
      <c r="B110" s="13">
        <v>2</v>
      </c>
      <c r="C110" s="13">
        <v>1182.394</v>
      </c>
      <c r="D110" s="13">
        <v>3192.464</v>
      </c>
      <c r="E110" s="16">
        <v>0.729</v>
      </c>
      <c r="F110" s="13">
        <v>23.272</v>
      </c>
    </row>
    <row r="111" spans="1:6">
      <c r="A111" s="13" t="s">
        <v>8</v>
      </c>
      <c r="B111" s="13"/>
      <c r="C111" s="13">
        <f t="shared" ref="C111:F111" si="37">SUM(C110:C110)</f>
        <v>1182.394</v>
      </c>
      <c r="D111" s="13">
        <f t="shared" si="37"/>
        <v>3192.464</v>
      </c>
      <c r="E111" s="16">
        <f t="shared" si="36"/>
        <v>0.728966716617634</v>
      </c>
      <c r="F111" s="13">
        <f t="shared" si="37"/>
        <v>23.272</v>
      </c>
    </row>
    <row r="112" spans="1:6">
      <c r="A112" s="13" t="s">
        <v>12</v>
      </c>
      <c r="B112" s="13"/>
      <c r="C112" s="13">
        <f t="shared" ref="C112:F112" si="38">C109+C111</f>
        <v>1585.422</v>
      </c>
      <c r="D112" s="13">
        <f t="shared" si="38"/>
        <v>4280.64</v>
      </c>
      <c r="E112" s="16">
        <f t="shared" si="36"/>
        <v>0.994103685430216</v>
      </c>
      <c r="F112" s="13">
        <f t="shared" si="38"/>
        <v>42.554</v>
      </c>
    </row>
    <row r="114" spans="1:6">
      <c r="A114" s="10" t="s">
        <v>20</v>
      </c>
      <c r="B114" s="11"/>
      <c r="C114" s="11"/>
      <c r="D114" s="11"/>
      <c r="E114" s="11"/>
      <c r="F114" s="12"/>
    </row>
    <row r="115" spans="1:6">
      <c r="A115" s="13" t="s">
        <v>1</v>
      </c>
      <c r="B115" s="13" t="s">
        <v>2</v>
      </c>
      <c r="C115" s="13" t="s">
        <v>3</v>
      </c>
      <c r="D115" s="13" t="s">
        <v>4</v>
      </c>
      <c r="E115" s="13" t="s">
        <v>5</v>
      </c>
      <c r="F115" s="13" t="s">
        <v>6</v>
      </c>
    </row>
    <row r="116" spans="1:6">
      <c r="A116" s="13" t="s">
        <v>9</v>
      </c>
      <c r="B116" s="13">
        <v>1</v>
      </c>
      <c r="C116" s="13">
        <v>460.379</v>
      </c>
      <c r="D116" s="13">
        <v>1243.022</v>
      </c>
      <c r="E116" s="16">
        <v>1.716</v>
      </c>
      <c r="F116" s="13">
        <v>21.33</v>
      </c>
    </row>
    <row r="117" spans="1:6">
      <c r="A117" s="13" t="s">
        <v>9</v>
      </c>
      <c r="B117" s="13">
        <v>2</v>
      </c>
      <c r="C117" s="13">
        <v>562.611</v>
      </c>
      <c r="D117" s="13">
        <v>1519.05</v>
      </c>
      <c r="E117" s="16">
        <v>1.874</v>
      </c>
      <c r="F117" s="13">
        <v>28.468</v>
      </c>
    </row>
    <row r="118" spans="1:6">
      <c r="A118" s="13" t="s">
        <v>8</v>
      </c>
      <c r="B118" s="13"/>
      <c r="C118" s="13">
        <f t="shared" ref="C118:F118" si="39">SUM(C116:C117)</f>
        <v>1022.99</v>
      </c>
      <c r="D118" s="13">
        <f t="shared" si="39"/>
        <v>2762.072</v>
      </c>
      <c r="E118" s="16">
        <f t="shared" ref="E118:E124" si="40">F118/D118*100</f>
        <v>1.80292186445538</v>
      </c>
      <c r="F118" s="13">
        <f t="shared" si="39"/>
        <v>49.798</v>
      </c>
    </row>
    <row r="119" spans="1:6">
      <c r="A119" s="13" t="s">
        <v>10</v>
      </c>
      <c r="B119" s="13">
        <v>3</v>
      </c>
      <c r="C119" s="13">
        <v>2767.843</v>
      </c>
      <c r="D119" s="13">
        <v>7473.176</v>
      </c>
      <c r="E119" s="16">
        <v>1.193</v>
      </c>
      <c r="F119" s="13">
        <v>89.126</v>
      </c>
    </row>
    <row r="120" spans="1:6">
      <c r="A120" s="13" t="s">
        <v>8</v>
      </c>
      <c r="B120" s="13"/>
      <c r="C120" s="13">
        <f t="shared" ref="C120:F120" si="41">SUM(C119:C119)</f>
        <v>2767.843</v>
      </c>
      <c r="D120" s="13">
        <f t="shared" si="41"/>
        <v>7473.176</v>
      </c>
      <c r="E120" s="16">
        <f t="shared" si="40"/>
        <v>1.19261208353717</v>
      </c>
      <c r="F120" s="13">
        <f t="shared" si="41"/>
        <v>89.126</v>
      </c>
    </row>
    <row r="121" spans="1:6">
      <c r="A121" s="13" t="s">
        <v>11</v>
      </c>
      <c r="B121" s="13">
        <v>4</v>
      </c>
      <c r="C121" s="13">
        <v>3204.912</v>
      </c>
      <c r="D121" s="13">
        <v>8653.262</v>
      </c>
      <c r="E121" s="16">
        <v>0.801</v>
      </c>
      <c r="F121" s="13">
        <v>69.302</v>
      </c>
    </row>
    <row r="122" spans="1:6">
      <c r="A122" s="13" t="s">
        <v>11</v>
      </c>
      <c r="B122" s="13">
        <v>5</v>
      </c>
      <c r="C122" s="13">
        <v>315.951</v>
      </c>
      <c r="D122" s="13">
        <v>853.068</v>
      </c>
      <c r="E122" s="16">
        <v>0.98</v>
      </c>
      <c r="F122" s="13">
        <v>8.36</v>
      </c>
    </row>
    <row r="123" spans="1:6">
      <c r="A123" s="13" t="s">
        <v>8</v>
      </c>
      <c r="B123" s="13"/>
      <c r="C123" s="13">
        <f t="shared" ref="C123:F123" si="42">SUM(C121:C122)</f>
        <v>3520.863</v>
      </c>
      <c r="D123" s="13">
        <f t="shared" si="42"/>
        <v>9506.33</v>
      </c>
      <c r="E123" s="16">
        <f t="shared" si="40"/>
        <v>0.8169503898981</v>
      </c>
      <c r="F123" s="13">
        <f t="shared" si="42"/>
        <v>77.662</v>
      </c>
    </row>
    <row r="124" spans="1:6">
      <c r="A124" s="13" t="s">
        <v>12</v>
      </c>
      <c r="B124" s="13"/>
      <c r="C124" s="13">
        <f t="shared" ref="C124:F124" si="43">C118+C120+C123</f>
        <v>7311.696</v>
      </c>
      <c r="D124" s="13">
        <f t="shared" si="43"/>
        <v>19741.578</v>
      </c>
      <c r="E124" s="16">
        <f t="shared" si="40"/>
        <v>1.0971058139324</v>
      </c>
      <c r="F124" s="13">
        <f t="shared" si="43"/>
        <v>216.586</v>
      </c>
    </row>
    <row r="127" spans="1:6">
      <c r="A127" s="10" t="s">
        <v>21</v>
      </c>
      <c r="B127" s="18"/>
      <c r="C127" s="18"/>
      <c r="D127" s="18"/>
      <c r="E127" s="18"/>
      <c r="F127" s="18"/>
    </row>
    <row r="128" spans="1:6">
      <c r="A128" s="13" t="s">
        <v>1</v>
      </c>
      <c r="B128" s="13" t="s">
        <v>2</v>
      </c>
      <c r="C128" s="13" t="s">
        <v>3</v>
      </c>
      <c r="D128" s="13" t="s">
        <v>4</v>
      </c>
      <c r="E128" s="13" t="s">
        <v>5</v>
      </c>
      <c r="F128" s="13" t="s">
        <v>6</v>
      </c>
    </row>
    <row r="129" spans="1:6">
      <c r="A129" s="13" t="s">
        <v>10</v>
      </c>
      <c r="B129" s="13">
        <v>1</v>
      </c>
      <c r="C129" s="13">
        <v>2757.539</v>
      </c>
      <c r="D129" s="13">
        <v>7445.356</v>
      </c>
      <c r="E129" s="16">
        <v>1.28986444704592</v>
      </c>
      <c r="F129" s="13">
        <v>96.035</v>
      </c>
    </row>
    <row r="130" spans="1:6">
      <c r="A130" s="13" t="s">
        <v>10</v>
      </c>
      <c r="B130" s="13">
        <v>2</v>
      </c>
      <c r="C130" s="13">
        <v>2898.797</v>
      </c>
      <c r="D130" s="13">
        <v>7826.753</v>
      </c>
      <c r="E130" s="16">
        <v>1.39102383836567</v>
      </c>
      <c r="F130" s="13">
        <v>108.872</v>
      </c>
    </row>
    <row r="131" spans="1:6">
      <c r="A131" s="13" t="s">
        <v>11</v>
      </c>
      <c r="B131" s="13">
        <v>3</v>
      </c>
      <c r="C131" s="13">
        <v>19709.012</v>
      </c>
      <c r="D131" s="13">
        <v>53081.519</v>
      </c>
      <c r="E131" s="16">
        <v>0.781008169717223</v>
      </c>
      <c r="F131" s="13">
        <v>414.571</v>
      </c>
    </row>
    <row r="132" spans="1:6">
      <c r="A132" s="19" t="s">
        <v>11</v>
      </c>
      <c r="B132" s="13">
        <v>4</v>
      </c>
      <c r="C132" s="19">
        <v>616.509</v>
      </c>
      <c r="D132" s="19">
        <v>1664.574</v>
      </c>
      <c r="E132" s="19">
        <v>0.802</v>
      </c>
      <c r="F132" s="19">
        <v>13.343</v>
      </c>
    </row>
    <row r="133" spans="1:6">
      <c r="A133" s="13" t="s">
        <v>12</v>
      </c>
      <c r="B133" s="13"/>
      <c r="C133" s="13">
        <f t="shared" ref="C133:F133" si="44">SUM(C129:C132)</f>
        <v>25981.857</v>
      </c>
      <c r="D133" s="13">
        <f t="shared" si="44"/>
        <v>70018.202</v>
      </c>
      <c r="E133" s="16">
        <f>F133/D133*100</f>
        <v>0.903794987480541</v>
      </c>
      <c r="F133" s="13">
        <f t="shared" si="44"/>
        <v>632.821</v>
      </c>
    </row>
    <row r="136" spans="1:6">
      <c r="A136" s="10" t="s">
        <v>22</v>
      </c>
      <c r="B136" s="18"/>
      <c r="C136" s="18"/>
      <c r="D136" s="18"/>
      <c r="E136" s="18"/>
      <c r="F136" s="18"/>
    </row>
    <row r="137" spans="1:6">
      <c r="A137" s="13" t="s">
        <v>1</v>
      </c>
      <c r="B137" s="13" t="s">
        <v>2</v>
      </c>
      <c r="C137" s="13" t="s">
        <v>3</v>
      </c>
      <c r="D137" s="13" t="s">
        <v>4</v>
      </c>
      <c r="E137" s="13" t="s">
        <v>5</v>
      </c>
      <c r="F137" s="13" t="s">
        <v>6</v>
      </c>
    </row>
    <row r="138" spans="1:6">
      <c r="A138" s="20" t="s">
        <v>9</v>
      </c>
      <c r="B138" s="13">
        <v>1</v>
      </c>
      <c r="C138" s="13">
        <v>2327.177</v>
      </c>
      <c r="D138" s="13">
        <v>6283.379</v>
      </c>
      <c r="E138" s="16">
        <v>2.23036044777818</v>
      </c>
      <c r="F138" s="13">
        <v>140.142</v>
      </c>
    </row>
    <row r="139" spans="1:6">
      <c r="A139" s="13" t="s">
        <v>10</v>
      </c>
      <c r="B139" s="13">
        <v>2</v>
      </c>
      <c r="C139" s="13">
        <v>780.658</v>
      </c>
      <c r="D139" s="13">
        <v>2107.776</v>
      </c>
      <c r="E139" s="16">
        <v>1.00641624157406</v>
      </c>
      <c r="F139" s="13">
        <v>21.213</v>
      </c>
    </row>
    <row r="140" spans="1:6">
      <c r="A140" s="13" t="s">
        <v>11</v>
      </c>
      <c r="B140" s="13">
        <v>3</v>
      </c>
      <c r="C140" s="13">
        <v>587.133</v>
      </c>
      <c r="D140" s="13">
        <v>1570.782</v>
      </c>
      <c r="E140" s="16">
        <v>0.671448998015002</v>
      </c>
      <c r="F140" s="13">
        <v>10.547</v>
      </c>
    </row>
    <row r="141" spans="1:6">
      <c r="A141" s="13" t="s">
        <v>12</v>
      </c>
      <c r="B141" s="13"/>
      <c r="C141" s="13">
        <f t="shared" ref="C141:F141" si="45">SUM(C138:C140)</f>
        <v>3694.968</v>
      </c>
      <c r="D141" s="13">
        <f t="shared" si="45"/>
        <v>9961.937</v>
      </c>
      <c r="E141" s="16">
        <f>F141/D141*100</f>
        <v>1.7255881060079</v>
      </c>
      <c r="F141" s="13">
        <f t="shared" si="45"/>
        <v>171.902</v>
      </c>
    </row>
    <row r="143" spans="1:6">
      <c r="A143" s="10" t="s">
        <v>23</v>
      </c>
      <c r="B143" s="18"/>
      <c r="C143" s="18"/>
      <c r="D143" s="18"/>
      <c r="E143" s="21"/>
      <c r="F143" s="18"/>
    </row>
    <row r="144" spans="1:6">
      <c r="A144" s="13" t="s">
        <v>1</v>
      </c>
      <c r="B144" s="13" t="s">
        <v>2</v>
      </c>
      <c r="C144" s="13" t="s">
        <v>3</v>
      </c>
      <c r="D144" s="13" t="s">
        <v>4</v>
      </c>
      <c r="E144" s="14" t="s">
        <v>5</v>
      </c>
      <c r="F144" s="13" t="s">
        <v>6</v>
      </c>
    </row>
    <row r="145" spans="1:6">
      <c r="A145" s="19" t="s">
        <v>11</v>
      </c>
      <c r="B145" s="13">
        <v>1</v>
      </c>
      <c r="C145" s="19">
        <v>2952.726</v>
      </c>
      <c r="D145" s="19">
        <v>7956.793</v>
      </c>
      <c r="E145" s="22">
        <v>0.720491283360017</v>
      </c>
      <c r="F145" s="19">
        <v>57.328</v>
      </c>
    </row>
    <row r="146" spans="1:6">
      <c r="A146" s="13" t="s">
        <v>12</v>
      </c>
      <c r="B146" s="13"/>
      <c r="C146" s="13">
        <f t="shared" ref="C146:F146" si="46">SUM(C145:C145)</f>
        <v>2952.726</v>
      </c>
      <c r="D146" s="13">
        <f t="shared" si="46"/>
        <v>7956.793</v>
      </c>
      <c r="E146" s="14">
        <f>F146/D146*100</f>
        <v>0.720491283360017</v>
      </c>
      <c r="F146" s="13">
        <f t="shared" si="46"/>
        <v>57.328</v>
      </c>
    </row>
    <row r="149" spans="1:6">
      <c r="A149" s="10" t="s">
        <v>24</v>
      </c>
      <c r="B149" s="18"/>
      <c r="C149" s="18"/>
      <c r="D149" s="18"/>
      <c r="E149" s="21"/>
      <c r="F149" s="18"/>
    </row>
    <row r="150" spans="1:6">
      <c r="A150" s="13" t="s">
        <v>1</v>
      </c>
      <c r="B150" s="13" t="s">
        <v>2</v>
      </c>
      <c r="C150" s="13" t="s">
        <v>3</v>
      </c>
      <c r="D150" s="13" t="s">
        <v>4</v>
      </c>
      <c r="E150" s="14" t="s">
        <v>5</v>
      </c>
      <c r="F150" s="13" t="s">
        <v>6</v>
      </c>
    </row>
    <row r="151" spans="1:6">
      <c r="A151" s="19" t="s">
        <v>11</v>
      </c>
      <c r="B151" s="13">
        <v>1</v>
      </c>
      <c r="C151" s="19">
        <v>4743.058</v>
      </c>
      <c r="D151" s="19">
        <v>12778.548</v>
      </c>
      <c r="E151" s="22">
        <v>0.70252895712408</v>
      </c>
      <c r="F151" s="19">
        <v>89.773</v>
      </c>
    </row>
    <row r="152" spans="1:6">
      <c r="A152" s="13" t="s">
        <v>12</v>
      </c>
      <c r="B152" s="13"/>
      <c r="C152" s="13">
        <f t="shared" ref="C152:F152" si="47">SUM(C151:C151)</f>
        <v>4743.058</v>
      </c>
      <c r="D152" s="13">
        <f t="shared" si="47"/>
        <v>12778.548</v>
      </c>
      <c r="E152" s="14">
        <f>F152/D152*100</f>
        <v>0.70252895712408</v>
      </c>
      <c r="F152" s="13">
        <f t="shared" si="47"/>
        <v>89.773</v>
      </c>
    </row>
    <row r="154" spans="1:6">
      <c r="A154" s="23" t="s">
        <v>25</v>
      </c>
      <c r="B154" s="24"/>
      <c r="C154" s="24"/>
      <c r="D154" s="24"/>
      <c r="E154" s="25"/>
      <c r="F154" s="24"/>
    </row>
    <row r="155" spans="1:6">
      <c r="A155" s="13" t="s">
        <v>1</v>
      </c>
      <c r="B155" s="13" t="s">
        <v>2</v>
      </c>
      <c r="C155" s="13" t="s">
        <v>3</v>
      </c>
      <c r="D155" s="13" t="s">
        <v>4</v>
      </c>
      <c r="E155" s="14" t="s">
        <v>5</v>
      </c>
      <c r="F155" s="13" t="s">
        <v>6</v>
      </c>
    </row>
    <row r="156" spans="1:6">
      <c r="A156" s="26" t="s">
        <v>9</v>
      </c>
      <c r="B156" s="26">
        <v>7</v>
      </c>
      <c r="C156" s="26">
        <v>1479.559</v>
      </c>
      <c r="D156" s="26">
        <v>3994.81</v>
      </c>
      <c r="E156" s="26">
        <v>2.16283127357747</v>
      </c>
      <c r="F156" s="26">
        <v>86.401</v>
      </c>
    </row>
    <row r="157" spans="1:6">
      <c r="A157" s="26" t="s">
        <v>9</v>
      </c>
      <c r="B157" s="26">
        <v>5</v>
      </c>
      <c r="C157" s="26">
        <v>2418.399</v>
      </c>
      <c r="D157" s="26">
        <v>6529.678</v>
      </c>
      <c r="E157" s="26">
        <v>2.055</v>
      </c>
      <c r="F157" s="26">
        <v>134.209</v>
      </c>
    </row>
    <row r="158" spans="1:6">
      <c r="A158" s="26" t="s">
        <v>8</v>
      </c>
      <c r="B158" s="26"/>
      <c r="C158" s="26">
        <f t="shared" ref="C158:F158" si="48">C156+C157</f>
        <v>3897.958</v>
      </c>
      <c r="D158" s="26">
        <f t="shared" si="48"/>
        <v>10524.488</v>
      </c>
      <c r="E158" s="26">
        <f>F158/D158*100</f>
        <v>2.09615897704477</v>
      </c>
      <c r="F158" s="26">
        <f t="shared" si="48"/>
        <v>220.61</v>
      </c>
    </row>
    <row r="159" spans="1:6">
      <c r="A159" s="26" t="s">
        <v>10</v>
      </c>
      <c r="B159" s="26">
        <v>2</v>
      </c>
      <c r="C159" s="26">
        <v>4589.466</v>
      </c>
      <c r="D159" s="26">
        <v>12376.944</v>
      </c>
      <c r="E159" s="26">
        <v>1.20213034816995</v>
      </c>
      <c r="F159" s="26">
        <v>148.787</v>
      </c>
    </row>
    <row r="160" spans="1:6">
      <c r="A160" s="26" t="s">
        <v>10</v>
      </c>
      <c r="B160" s="26">
        <v>4</v>
      </c>
      <c r="C160" s="26">
        <v>2478.154</v>
      </c>
      <c r="D160" s="26">
        <v>6691.017</v>
      </c>
      <c r="E160" s="26">
        <v>1.04987029624943</v>
      </c>
      <c r="F160" s="26">
        <v>70.247</v>
      </c>
    </row>
    <row r="161" spans="1:6">
      <c r="A161" s="26" t="s">
        <v>10</v>
      </c>
      <c r="B161" s="26">
        <v>6</v>
      </c>
      <c r="C161" s="26">
        <v>2316.415</v>
      </c>
      <c r="D161" s="26">
        <v>6254.321</v>
      </c>
      <c r="E161" s="26">
        <v>1.23711270975698</v>
      </c>
      <c r="F161" s="26">
        <v>77.373</v>
      </c>
    </row>
    <row r="162" spans="1:6">
      <c r="A162" s="26" t="s">
        <v>8</v>
      </c>
      <c r="B162" s="26"/>
      <c r="C162" s="26">
        <f t="shared" ref="C162:F162" si="49">C159+C160+C161</f>
        <v>9384.035</v>
      </c>
      <c r="D162" s="26">
        <f t="shared" si="49"/>
        <v>25322.282</v>
      </c>
      <c r="E162" s="26">
        <f t="shared" ref="E162:E166" si="50">F162/D162*100</f>
        <v>1.17053826349458</v>
      </c>
      <c r="F162" s="26">
        <f t="shared" si="49"/>
        <v>296.407</v>
      </c>
    </row>
    <row r="163" spans="1:6">
      <c r="A163" s="26" t="s">
        <v>11</v>
      </c>
      <c r="B163" s="27">
        <v>1</v>
      </c>
      <c r="C163" s="27">
        <v>5363.935</v>
      </c>
      <c r="D163" s="27">
        <v>14361.711</v>
      </c>
      <c r="E163" s="27">
        <v>0.547177143447602</v>
      </c>
      <c r="F163" s="27">
        <v>78.584</v>
      </c>
    </row>
    <row r="164" spans="1:6">
      <c r="A164" s="26" t="s">
        <v>11</v>
      </c>
      <c r="B164" s="26">
        <v>3</v>
      </c>
      <c r="C164" s="26">
        <v>11416.871</v>
      </c>
      <c r="D164" s="26">
        <v>30672.313</v>
      </c>
      <c r="E164" s="26">
        <v>0.606696990865997</v>
      </c>
      <c r="F164" s="26">
        <v>186.088</v>
      </c>
    </row>
    <row r="165" spans="1:6">
      <c r="A165" s="26" t="s">
        <v>8</v>
      </c>
      <c r="B165" s="26"/>
      <c r="C165" s="26">
        <f t="shared" ref="C165:F165" si="51">C163+C164</f>
        <v>16780.806</v>
      </c>
      <c r="D165" s="26">
        <f t="shared" si="51"/>
        <v>45034.024</v>
      </c>
      <c r="E165" s="26">
        <f t="shared" si="50"/>
        <v>0.587715634738748</v>
      </c>
      <c r="F165" s="26">
        <f t="shared" si="51"/>
        <v>264.672</v>
      </c>
    </row>
    <row r="166" spans="1:6">
      <c r="A166" s="26" t="s">
        <v>26</v>
      </c>
      <c r="B166" s="26"/>
      <c r="C166" s="26">
        <f t="shared" ref="C166:F166" si="52">C165+C162+C158</f>
        <v>30062.799</v>
      </c>
      <c r="D166" s="26">
        <f t="shared" si="52"/>
        <v>80880.794</v>
      </c>
      <c r="E166" s="26">
        <f t="shared" si="50"/>
        <v>0.966470482473256</v>
      </c>
      <c r="F166" s="26">
        <f t="shared" si="52"/>
        <v>781.689</v>
      </c>
    </row>
  </sheetData>
  <mergeCells count="15">
    <mergeCell ref="A1:F1"/>
    <mergeCell ref="A18:F18"/>
    <mergeCell ref="A31:F31"/>
    <mergeCell ref="A38:F38"/>
    <mergeCell ref="A48:F48"/>
    <mergeCell ref="A60:F60"/>
    <mergeCell ref="A72:F72"/>
    <mergeCell ref="A98:F98"/>
    <mergeCell ref="A106:F106"/>
    <mergeCell ref="A114:F114"/>
    <mergeCell ref="A127:F127"/>
    <mergeCell ref="A136:F136"/>
    <mergeCell ref="A143:F143"/>
    <mergeCell ref="A149:F149"/>
    <mergeCell ref="A154:F15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韩</cp:lastModifiedBy>
  <dcterms:created xsi:type="dcterms:W3CDTF">2026-07-12T05:13:00Z</dcterms:created>
  <dcterms:modified xsi:type="dcterms:W3CDTF">2026-10-07T09:25:05Z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A3C44155766C4B99934371DC24BCCABE_12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