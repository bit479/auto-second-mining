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AAAWK\2026地质生产数据\北部山头2026\北部山头3970平台2026\7、单日数据\北部山头3970平台-1011\"/>
    </mc:Choice>
  </mc:AlternateContent>
  <xr:revisionPtr revIDLastSave="0" documentId="13_ncr:1_{DE1D4836-BC98-4A55-BB5E-95B9588038C9}" xr6:coauthVersionLast="47" xr6:coauthVersionMax="47" xr10:uidLastSave="{00000000-0000-0000-0000-000000000000}"/>
  <bookViews>
    <workbookView xWindow="384" yWindow="384" windowWidth="20556" windowHeight="12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F8" i="1"/>
  <c r="D8" i="1"/>
  <c r="C8" i="1"/>
  <c r="E7" i="1"/>
  <c r="D7" i="1"/>
  <c r="F7" i="1"/>
  <c r="C7" i="1"/>
  <c r="D36" i="1"/>
  <c r="E36" i="1"/>
  <c r="F36" i="1"/>
  <c r="C36" i="1"/>
  <c r="D29" i="1"/>
  <c r="E29" i="1"/>
  <c r="F29" i="1"/>
  <c r="C29" i="1"/>
  <c r="D4" i="1"/>
  <c r="E4" i="1"/>
  <c r="F4" i="1"/>
  <c r="C4" i="1"/>
  <c r="D19" i="1"/>
  <c r="E19" i="1"/>
  <c r="F19" i="1"/>
  <c r="C19" i="1"/>
</calcChain>
</file>

<file path=xl/sharedStrings.xml><?xml version="1.0" encoding="utf-8"?>
<sst xmlns="http://schemas.openxmlformats.org/spreadsheetml/2006/main" count="49" uniqueCount="16">
  <si>
    <t>类型</t>
  </si>
  <si>
    <t>体号</t>
  </si>
  <si>
    <t>体积</t>
  </si>
  <si>
    <t>重量（t）</t>
  </si>
  <si>
    <t>平均品位(Au)</t>
  </si>
  <si>
    <t>金属量（百克）</t>
  </si>
  <si>
    <t>0.500-1.000</t>
  </si>
  <si>
    <t>1.000-1.500</t>
  </si>
  <si>
    <t>小计</t>
    <phoneticPr fontId="5" type="noConversion"/>
  </si>
  <si>
    <t>合计</t>
    <phoneticPr fontId="5" type="noConversion"/>
  </si>
  <si>
    <t>3DMine 炮孔数据库报告</t>
  </si>
  <si>
    <t>重量</t>
  </si>
  <si>
    <t>金属量</t>
  </si>
  <si>
    <t>小计</t>
  </si>
  <si>
    <t>总计</t>
  </si>
  <si>
    <t>北部山头3970平台 1011炮孔数据报告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</si>
</sst>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81" formatCode="0.00_);[Red]\(0.00\)"/>
  </numFmts>
  <fonts count="6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2" applyBorder="1" applyAlignment="1">
      <alignment horizontal="center" vertical="center"/>
    </xf>
    <xf numFmtId="0" fontId="2" fillId="0" borderId="0" xfId="2">
      <alignment vertical="center"/>
    </xf>
    <xf numFmtId="0" fontId="2" fillId="0" borderId="0" xfId="2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1" fillId="0" borderId="0" xfId="3">
      <alignment vertical="center"/>
    </xf>
    <xf numFmtId="0" fontId="1" fillId="0" borderId="0" xfId="3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1" fillId="0" borderId="0" xfId="3">
      <alignment vertical="center"/>
    </xf>
    <xf numFmtId="0" fontId="1" fillId="0" borderId="0" xfId="3" applyAlignment="1">
      <alignment horizontal="center" vertical="center"/>
    </xf>
    <xf numFmtId="0" fontId="1" fillId="0" borderId="0" xfId="3">
      <alignment vertical="center"/>
    </xf>
    <xf numFmtId="0" fontId="1" fillId="0" borderId="0" xfId="3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181" fontId="2" fillId="0" borderId="1" xfId="2" applyNumberFormat="1" applyBorder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1" fontId="2" fillId="0" borderId="0" xfId="2" applyNumberFormat="1">
      <alignment vertical="center"/>
    </xf>
    <xf numFmtId="181" fontId="2" fillId="0" borderId="0" xfId="2" applyNumberFormat="1" applyAlignment="1">
      <alignment horizontal="center" vertical="center"/>
    </xf>
    <xf numFmtId="181" fontId="1" fillId="0" borderId="0" xfId="3" applyNumberFormat="1" applyAlignment="1">
      <alignment horizontal="center" vertical="center"/>
    </xf>
    <xf numFmtId="181" fontId="0" fillId="0" borderId="0" xfId="0" applyNumberFormat="1" applyAlignment="1">
      <alignment horizontal="center"/>
    </xf>
    <xf numFmtId="0" fontId="1" fillId="0" borderId="1" xfId="3" applyBorder="1" applyAlignment="1">
      <alignment horizontal="center" vertical="center"/>
    </xf>
  </cellXfs>
  <cellStyles count="4">
    <cellStyle name="常规" xfId="0" builtinId="0"/>
    <cellStyle name="常规 2" xfId="1" xr:uid="{78764F95-5E3E-4A09-BBBA-410A80E15240}"/>
    <cellStyle name="常规 3" xfId="2" xr:uid="{641B604C-F168-4D99-9975-2E2C85743811}"/>
    <cellStyle name="常规 4" xfId="3" xr:uid="{96E98220-9443-4FCC-81E6-B9AB9CC44E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sqref="A1:F8"/>
    </sheetView>
  </sheetViews>
  <sheetFormatPr defaultColWidth="18.5546875" defaultRowHeight="13.8" x14ac:dyDescent="0.25"/>
  <cols>
    <col min="1" max="4" width="18.5546875" style="2"/>
    <col min="5" max="5" width="18.5546875" style="21"/>
    <col min="6" max="16384" width="18.5546875" style="2"/>
  </cols>
  <sheetData>
    <row r="1" spans="1:6" ht="13.8" customHeight="1" x14ac:dyDescent="0.25">
      <c r="A1" s="7" t="s">
        <v>15</v>
      </c>
      <c r="B1" s="8"/>
      <c r="C1" s="8"/>
      <c r="D1" s="8"/>
      <c r="E1" s="9"/>
      <c r="F1" s="8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9" t="s">
        <v>4</v>
      </c>
      <c r="F2" s="1" t="s">
        <v>5</v>
      </c>
    </row>
    <row r="3" spans="1:6" x14ac:dyDescent="0.25">
      <c r="A3" s="4" t="s">
        <v>7</v>
      </c>
      <c r="B3" s="4">
        <v>1</v>
      </c>
      <c r="C3" s="4">
        <v>366.41500000000002</v>
      </c>
      <c r="D3" s="4">
        <v>989.32</v>
      </c>
      <c r="E3" s="20">
        <v>1.139</v>
      </c>
      <c r="F3" s="4">
        <v>11.265000000000001</v>
      </c>
    </row>
    <row r="4" spans="1:6" x14ac:dyDescent="0.25">
      <c r="A4" s="14" t="s">
        <v>8</v>
      </c>
      <c r="B4" s="4"/>
      <c r="C4" s="4">
        <f>C3</f>
        <v>366.41500000000002</v>
      </c>
      <c r="D4" s="4">
        <f t="shared" ref="D4:F4" si="0">D3</f>
        <v>989.32</v>
      </c>
      <c r="E4" s="20">
        <f t="shared" si="0"/>
        <v>1.139</v>
      </c>
      <c r="F4" s="4">
        <f t="shared" si="0"/>
        <v>11.265000000000001</v>
      </c>
    </row>
    <row r="5" spans="1:6" x14ac:dyDescent="0.25">
      <c r="A5" s="4" t="s">
        <v>6</v>
      </c>
      <c r="B5" s="4">
        <v>2</v>
      </c>
      <c r="C5" s="4">
        <v>8446.9380000000001</v>
      </c>
      <c r="D5" s="4">
        <v>22806.733</v>
      </c>
      <c r="E5" s="20">
        <v>0.64700000000000002</v>
      </c>
      <c r="F5" s="4">
        <v>147.47300000000001</v>
      </c>
    </row>
    <row r="6" spans="1:6" x14ac:dyDescent="0.25">
      <c r="A6" s="26" t="s">
        <v>6</v>
      </c>
      <c r="B6" s="1">
        <v>3</v>
      </c>
      <c r="C6" s="1">
        <v>273.93099999999998</v>
      </c>
      <c r="D6" s="1">
        <v>739.61199999999997</v>
      </c>
      <c r="E6" s="19">
        <v>0.8</v>
      </c>
      <c r="F6" s="1">
        <v>5.9169999999999998</v>
      </c>
    </row>
    <row r="7" spans="1:6" x14ac:dyDescent="0.25">
      <c r="A7" s="4" t="s">
        <v>8</v>
      </c>
      <c r="B7" s="4"/>
      <c r="C7" s="4">
        <f>C5+C6</f>
        <v>8720.8690000000006</v>
      </c>
      <c r="D7" s="4">
        <f t="shared" ref="D7:F7" si="1">D5+D6</f>
        <v>23546.345000000001</v>
      </c>
      <c r="E7" s="20">
        <f>F7/D7*100</f>
        <v>0.65143868400807003</v>
      </c>
      <c r="F7" s="4">
        <f t="shared" si="1"/>
        <v>153.39000000000001</v>
      </c>
    </row>
    <row r="8" spans="1:6" x14ac:dyDescent="0.25">
      <c r="A8" s="4" t="s">
        <v>9</v>
      </c>
      <c r="B8" s="4"/>
      <c r="C8" s="4">
        <f>C4+C7</f>
        <v>9087.2840000000015</v>
      </c>
      <c r="D8" s="4">
        <f>D4+D7</f>
        <v>24535.665000000001</v>
      </c>
      <c r="E8" s="20">
        <f>F8/D8*100</f>
        <v>0.67108431746194785</v>
      </c>
      <c r="F8" s="4">
        <f>F4+F7</f>
        <v>164.65500000000003</v>
      </c>
    </row>
    <row r="9" spans="1:6" x14ac:dyDescent="0.25">
      <c r="A9" s="6"/>
      <c r="B9" s="5"/>
      <c r="C9" s="6"/>
      <c r="D9" s="6"/>
      <c r="E9" s="22"/>
      <c r="F9" s="6"/>
    </row>
    <row r="10" spans="1:6" x14ac:dyDescent="0.25">
      <c r="A10" s="6"/>
      <c r="B10" s="6"/>
      <c r="C10" s="6"/>
      <c r="D10" s="6"/>
      <c r="E10" s="23"/>
      <c r="F10" s="6"/>
    </row>
    <row r="11" spans="1:6" x14ac:dyDescent="0.25">
      <c r="A11" s="6"/>
      <c r="B11" s="5"/>
      <c r="C11" s="6"/>
      <c r="D11" s="6"/>
      <c r="E11" s="22"/>
      <c r="F11" s="6"/>
    </row>
    <row r="12" spans="1:6" x14ac:dyDescent="0.25">
      <c r="A12" s="6"/>
      <c r="B12" s="6"/>
      <c r="C12" s="6"/>
      <c r="D12" s="6"/>
      <c r="E12" s="23"/>
      <c r="F12" s="6"/>
    </row>
    <row r="13" spans="1:6" x14ac:dyDescent="0.25">
      <c r="A13" s="6"/>
      <c r="B13" s="5"/>
      <c r="C13" s="6"/>
      <c r="D13" s="6"/>
      <c r="E13" s="22"/>
      <c r="F13" s="6"/>
    </row>
    <row r="14" spans="1:6" x14ac:dyDescent="0.25">
      <c r="A14" s="12" t="s">
        <v>10</v>
      </c>
      <c r="B14" s="13"/>
      <c r="C14" s="13"/>
      <c r="D14" s="13"/>
      <c r="E14" s="13"/>
      <c r="F14" s="13"/>
    </row>
    <row r="15" spans="1:6" x14ac:dyDescent="0.25">
      <c r="A15" s="11" t="s">
        <v>0</v>
      </c>
      <c r="B15" s="11" t="s">
        <v>1</v>
      </c>
      <c r="C15" s="11" t="s">
        <v>2</v>
      </c>
      <c r="D15" s="11" t="s">
        <v>11</v>
      </c>
      <c r="E15" s="24" t="s">
        <v>4</v>
      </c>
      <c r="F15" s="11" t="s">
        <v>12</v>
      </c>
    </row>
    <row r="16" spans="1:6" x14ac:dyDescent="0.25">
      <c r="A16" s="11" t="s">
        <v>7</v>
      </c>
      <c r="B16" s="11">
        <v>1</v>
      </c>
      <c r="C16" s="11">
        <v>366.41500000000002</v>
      </c>
      <c r="D16" s="11">
        <v>989.32</v>
      </c>
      <c r="E16" s="24">
        <v>1.139</v>
      </c>
      <c r="F16" s="11">
        <v>11.265000000000001</v>
      </c>
    </row>
    <row r="17" spans="1:6" x14ac:dyDescent="0.25">
      <c r="A17" s="11" t="s">
        <v>13</v>
      </c>
      <c r="B17" s="10"/>
      <c r="C17" s="11">
        <v>366.41500000000002</v>
      </c>
      <c r="D17" s="11">
        <v>989.32</v>
      </c>
      <c r="E17" s="24">
        <v>1.139</v>
      </c>
      <c r="F17" s="11">
        <v>11.265000000000001</v>
      </c>
    </row>
    <row r="18" spans="1:6" x14ac:dyDescent="0.25">
      <c r="A18" s="11" t="s">
        <v>14</v>
      </c>
      <c r="B18" s="10"/>
      <c r="C18" s="11">
        <v>366.41500000000002</v>
      </c>
      <c r="D18" s="11">
        <v>989.32</v>
      </c>
      <c r="E18" s="24">
        <v>1.139</v>
      </c>
      <c r="F18" s="11">
        <v>11.265000000000001</v>
      </c>
    </row>
    <row r="19" spans="1:6" x14ac:dyDescent="0.25">
      <c r="A19" s="18" t="s">
        <v>7</v>
      </c>
      <c r="B19" s="3">
        <v>1</v>
      </c>
      <c r="C19" s="3">
        <f>C18</f>
        <v>366.41500000000002</v>
      </c>
      <c r="D19" s="3">
        <f t="shared" ref="D19:F19" si="2">D18</f>
        <v>989.32</v>
      </c>
      <c r="E19" s="25">
        <f t="shared" si="2"/>
        <v>1.139</v>
      </c>
      <c r="F19" s="3">
        <f t="shared" si="2"/>
        <v>11.265000000000001</v>
      </c>
    </row>
    <row r="20" spans="1:6" x14ac:dyDescent="0.25">
      <c r="A20" s="3"/>
      <c r="B20" s="3"/>
      <c r="C20" s="3"/>
      <c r="D20" s="3"/>
      <c r="E20" s="25"/>
      <c r="F20" s="3"/>
    </row>
    <row r="21" spans="1:6" x14ac:dyDescent="0.25">
      <c r="A21" s="12" t="s">
        <v>10</v>
      </c>
      <c r="B21" s="13"/>
      <c r="C21" s="13"/>
      <c r="D21" s="13"/>
      <c r="E21" s="13"/>
      <c r="F21" s="13"/>
    </row>
    <row r="22" spans="1:6" x14ac:dyDescent="0.25">
      <c r="A22" s="16" t="s">
        <v>0</v>
      </c>
      <c r="B22" s="16" t="s">
        <v>1</v>
      </c>
      <c r="C22" s="16" t="s">
        <v>2</v>
      </c>
      <c r="D22" s="16" t="s">
        <v>11</v>
      </c>
      <c r="E22" s="24" t="s">
        <v>4</v>
      </c>
      <c r="F22" s="16" t="s">
        <v>12</v>
      </c>
    </row>
    <row r="23" spans="1:6" x14ac:dyDescent="0.25">
      <c r="A23" s="16" t="s">
        <v>7</v>
      </c>
      <c r="B23" s="16">
        <v>1</v>
      </c>
      <c r="C23" s="16">
        <v>434.09100000000001</v>
      </c>
      <c r="D23" s="16">
        <v>1172.047</v>
      </c>
      <c r="E23" s="24">
        <v>1.1100000000000001</v>
      </c>
      <c r="F23" s="16">
        <v>13.01</v>
      </c>
    </row>
    <row r="24" spans="1:6" x14ac:dyDescent="0.25">
      <c r="A24" s="16" t="s">
        <v>13</v>
      </c>
      <c r="B24" s="15"/>
      <c r="C24" s="16">
        <v>434.09100000000001</v>
      </c>
      <c r="D24" s="16">
        <v>1172.047</v>
      </c>
      <c r="E24" s="24">
        <v>1.1100000000000001</v>
      </c>
      <c r="F24" s="16">
        <v>13.01</v>
      </c>
    </row>
    <row r="25" spans="1:6" x14ac:dyDescent="0.25">
      <c r="A25" s="16" t="s">
        <v>6</v>
      </c>
      <c r="B25" s="16">
        <v>2</v>
      </c>
      <c r="C25" s="16">
        <v>1524.394</v>
      </c>
      <c r="D25" s="16">
        <v>4115.8649999999998</v>
      </c>
      <c r="E25" s="24">
        <v>0.61899999999999999</v>
      </c>
      <c r="F25" s="16">
        <v>25.466000000000001</v>
      </c>
    </row>
    <row r="26" spans="1:6" x14ac:dyDescent="0.25">
      <c r="A26" s="16" t="s">
        <v>6</v>
      </c>
      <c r="B26" s="16">
        <v>3</v>
      </c>
      <c r="C26" s="16">
        <v>6488.4520000000002</v>
      </c>
      <c r="D26" s="16">
        <v>17518.822</v>
      </c>
      <c r="E26" s="24">
        <v>0.622</v>
      </c>
      <c r="F26" s="16">
        <v>108.998</v>
      </c>
    </row>
    <row r="27" spans="1:6" x14ac:dyDescent="0.25">
      <c r="A27" s="16" t="s">
        <v>13</v>
      </c>
      <c r="B27" s="15"/>
      <c r="C27" s="16">
        <v>8012.8469999999998</v>
      </c>
      <c r="D27" s="16">
        <v>21634.686000000002</v>
      </c>
      <c r="E27" s="24">
        <v>0.622</v>
      </c>
      <c r="F27" s="16">
        <v>134.46299999999999</v>
      </c>
    </row>
    <row r="28" spans="1:6" x14ac:dyDescent="0.25">
      <c r="A28" s="16" t="s">
        <v>14</v>
      </c>
      <c r="B28" s="15"/>
      <c r="C28" s="16">
        <v>8446.9380000000001</v>
      </c>
      <c r="D28" s="16">
        <v>22806.733</v>
      </c>
      <c r="E28" s="24">
        <v>0.64700000000000002</v>
      </c>
      <c r="F28" s="16">
        <v>147.47300000000001</v>
      </c>
    </row>
    <row r="29" spans="1:6" x14ac:dyDescent="0.25">
      <c r="A29" s="18" t="s">
        <v>6</v>
      </c>
      <c r="B29" s="2">
        <v>2</v>
      </c>
      <c r="C29" s="2">
        <f>C28</f>
        <v>8446.9380000000001</v>
      </c>
      <c r="D29" s="2">
        <f t="shared" ref="D29:F29" si="3">D28</f>
        <v>22806.733</v>
      </c>
      <c r="E29" s="21">
        <f t="shared" si="3"/>
        <v>0.64700000000000002</v>
      </c>
      <c r="F29" s="2">
        <f t="shared" si="3"/>
        <v>147.47300000000001</v>
      </c>
    </row>
    <row r="31" spans="1:6" x14ac:dyDescent="0.25">
      <c r="A31" s="12" t="s">
        <v>10</v>
      </c>
      <c r="B31" s="13"/>
      <c r="C31" s="13"/>
      <c r="D31" s="13"/>
      <c r="E31" s="13"/>
      <c r="F31" s="13"/>
    </row>
    <row r="32" spans="1:6" x14ac:dyDescent="0.25">
      <c r="A32" s="18" t="s">
        <v>0</v>
      </c>
      <c r="B32" s="18" t="s">
        <v>1</v>
      </c>
      <c r="C32" s="18" t="s">
        <v>2</v>
      </c>
      <c r="D32" s="18" t="s">
        <v>11</v>
      </c>
      <c r="E32" s="24" t="s">
        <v>4</v>
      </c>
      <c r="F32" s="18" t="s">
        <v>12</v>
      </c>
    </row>
    <row r="33" spans="1:6" x14ac:dyDescent="0.25">
      <c r="A33" s="18" t="s">
        <v>6</v>
      </c>
      <c r="B33" s="18">
        <v>1</v>
      </c>
      <c r="C33" s="18">
        <v>273.93099999999998</v>
      </c>
      <c r="D33" s="18">
        <v>739.61199999999997</v>
      </c>
      <c r="E33" s="24">
        <v>0.8</v>
      </c>
      <c r="F33" s="18">
        <v>5.9169999999999998</v>
      </c>
    </row>
    <row r="34" spans="1:6" x14ac:dyDescent="0.25">
      <c r="A34" s="18" t="s">
        <v>13</v>
      </c>
      <c r="B34" s="17"/>
      <c r="C34" s="18">
        <v>273.93099999999998</v>
      </c>
      <c r="D34" s="18">
        <v>739.61199999999997</v>
      </c>
      <c r="E34" s="24">
        <v>0.8</v>
      </c>
      <c r="F34" s="18">
        <v>5.9169999999999998</v>
      </c>
    </row>
    <row r="35" spans="1:6" x14ac:dyDescent="0.25">
      <c r="A35" s="18" t="s">
        <v>14</v>
      </c>
      <c r="B35" s="17"/>
      <c r="C35" s="18">
        <v>273.93099999999998</v>
      </c>
      <c r="D35" s="18">
        <v>739.61199999999997</v>
      </c>
      <c r="E35" s="24">
        <v>0.8</v>
      </c>
      <c r="F35" s="18">
        <v>5.9169999999999998</v>
      </c>
    </row>
    <row r="36" spans="1:6" x14ac:dyDescent="0.25">
      <c r="A36" s="18" t="s">
        <v>6</v>
      </c>
      <c r="B36" s="2">
        <v>3</v>
      </c>
      <c r="C36" s="2">
        <f>C35</f>
        <v>273.93099999999998</v>
      </c>
      <c r="D36" s="2">
        <f t="shared" ref="D36:F36" si="4">D35</f>
        <v>739.61199999999997</v>
      </c>
      <c r="E36" s="21">
        <f t="shared" si="4"/>
        <v>0.8</v>
      </c>
      <c r="F36" s="2">
        <f t="shared" si="4"/>
        <v>5.9169999999999998</v>
      </c>
    </row>
  </sheetData>
  <mergeCells count="4">
    <mergeCell ref="A1:F1"/>
    <mergeCell ref="A14:F14"/>
    <mergeCell ref="A21:F21"/>
    <mergeCell ref="A31:F3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Bit Hiley</cp:lastModifiedBy>
  <dcterms:created xsi:type="dcterms:W3CDTF">2026-07-20T03:06:00Z</dcterms:created>
  <dcterms:modified xsi:type="dcterms:W3CDTF">2026-10-13T01:46:23Z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