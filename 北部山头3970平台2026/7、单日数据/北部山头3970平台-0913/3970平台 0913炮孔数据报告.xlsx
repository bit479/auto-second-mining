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B:\2026年采矿厂工作\采矿厂\2026地质生产数据\北部山头2026\北部山头3970平台2026\7、单日数据\北部山头3970平台-0913\"/>
    </mc:Choice>
  </mc:AlternateContent>
  <bookViews>
    <workbookView windowWidth="22188" windowHeight="906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<sst xmlns="http://schemas.openxmlformats.org/spreadsheetml/2006/main" count="12" uniqueCount="11">
  <si>
    <t>3970平台 0913炮孔数据报告</t>
  </si>
  <si>
    <t>类型</t>
  </si>
  <si>
    <t>体号</t>
  </si>
  <si>
    <t>体积</t>
  </si>
  <si>
    <t>重量（t）</t>
  </si>
  <si>
    <t>平均品位(Au)</t>
  </si>
  <si>
    <t>金属量（百克）</t>
  </si>
  <si>
    <t>1.500-3.000</t>
  </si>
  <si>
    <t>小计</t>
  </si>
  <si>
    <t>0.500-1.000</t>
  </si>
  <si>
    <t>总计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</si>
</sst>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0_ "/>
  </numFmts>
  <fonts count="21">
    <font>
      <sz val="11"/>
      <color theme="1"/>
      <name val="等线"/>
      <charset val="134"/>
      <scheme val="minor"/>
    </font>
    <font>
      <b/>
      <sz val="10"/>
      <color theme="1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2" fillId="0" borderId="0">
      <alignment vertical="center"/>
    </xf>
    <xf numFmtId="0" fontId="3" fillId="0" borderId="0">
      <alignment vertical="center"/>
    </xf>
    <xf numFmtId="0" fontId="0" fillId="2" borderId="4">
      <alignment vertical="center"/>
    </xf>
    <xf numFmtId="0" fontId="4" fillId="0" borderId="0">
      <alignment vertical="center"/>
    </xf>
    <xf numFmtId="0" fontId="5" fillId="0" borderId="0">
      <alignment vertical="center"/>
    </xf>
    <xf numFmtId="0" fontId="6" fillId="0" borderId="0">
      <alignment vertical="center"/>
    </xf>
    <xf numFmtId="0" fontId="7" fillId="0" borderId="5">
      <alignment vertical="center"/>
    </xf>
    <xf numFmtId="0" fontId="8" fillId="0" borderId="5">
      <alignment vertical="center"/>
    </xf>
    <xf numFmtId="0" fontId="9" fillId="0" borderId="6">
      <alignment vertical="center"/>
    </xf>
    <xf numFmtId="0" fontId="9" fillId="0" borderId="0">
      <alignment vertical="center"/>
    </xf>
    <xf numFmtId="0" fontId="10" fillId="3" borderId="7">
      <alignment vertical="center"/>
    </xf>
    <xf numFmtId="0" fontId="11" fillId="4" borderId="8">
      <alignment vertical="center"/>
    </xf>
    <xf numFmtId="0" fontId="12" fillId="4" borderId="7">
      <alignment vertical="center"/>
    </xf>
    <xf numFmtId="0" fontId="13" fillId="5" borderId="9">
      <alignment vertical="center"/>
    </xf>
    <xf numFmtId="0" fontId="14" fillId="0" borderId="10">
      <alignment vertical="center"/>
    </xf>
    <xf numFmtId="0" fontId="15" fillId="0" borderId="11">
      <alignment vertical="center"/>
    </xf>
    <xf numFmtId="0" fontId="16" fillId="6" borderId="0">
      <alignment vertical="center"/>
    </xf>
    <xf numFmtId="0" fontId="17" fillId="7" borderId="0">
      <alignment vertical="center"/>
    </xf>
    <xf numFmtId="0" fontId="18" fillId="8" borderId="0">
      <alignment vertical="center"/>
    </xf>
    <xf numFmtId="0" fontId="19" fillId="9" borderId="0">
      <alignment vertical="center"/>
    </xf>
    <xf numFmtId="0" fontId="20" fillId="10" borderId="0">
      <alignment vertical="center"/>
    </xf>
    <xf numFmtId="0" fontId="20" fillId="11" borderId="0">
      <alignment vertical="center"/>
    </xf>
    <xf numFmtId="0" fontId="19" fillId="12" borderId="0">
      <alignment vertical="center"/>
    </xf>
    <xf numFmtId="0" fontId="19" fillId="13" borderId="0">
      <alignment vertical="center"/>
    </xf>
    <xf numFmtId="0" fontId="20" fillId="14" borderId="0">
      <alignment vertical="center"/>
    </xf>
    <xf numFmtId="0" fontId="20" fillId="15" borderId="0">
      <alignment vertical="center"/>
    </xf>
    <xf numFmtId="0" fontId="19" fillId="16" borderId="0">
      <alignment vertical="center"/>
    </xf>
    <xf numFmtId="0" fontId="19" fillId="17" borderId="0">
      <alignment vertical="center"/>
    </xf>
    <xf numFmtId="0" fontId="20" fillId="18" borderId="0">
      <alignment vertical="center"/>
    </xf>
    <xf numFmtId="0" fontId="20" fillId="19" borderId="0">
      <alignment vertical="center"/>
    </xf>
    <xf numFmtId="0" fontId="19" fillId="20" borderId="0">
      <alignment vertical="center"/>
    </xf>
    <xf numFmtId="0" fontId="19" fillId="21" borderId="0">
      <alignment vertical="center"/>
    </xf>
    <xf numFmtId="0" fontId="20" fillId="22" borderId="0">
      <alignment vertical="center"/>
    </xf>
    <xf numFmtId="0" fontId="20" fillId="23" borderId="0">
      <alignment vertical="center"/>
    </xf>
    <xf numFmtId="0" fontId="19" fillId="24" borderId="0">
      <alignment vertical="center"/>
    </xf>
    <xf numFmtId="0" fontId="19" fillId="25" borderId="0">
      <alignment vertical="center"/>
    </xf>
    <xf numFmtId="0" fontId="20" fillId="26" borderId="0">
      <alignment vertical="center"/>
    </xf>
    <xf numFmtId="0" fontId="20" fillId="27" borderId="0">
      <alignment vertical="center"/>
    </xf>
    <xf numFmtId="0" fontId="19" fillId="28" borderId="0">
      <alignment vertical="center"/>
    </xf>
    <xf numFmtId="0" fontId="19" fillId="29" borderId="0">
      <alignment vertical="center"/>
    </xf>
    <xf numFmtId="0" fontId="20" fillId="30" borderId="0">
      <alignment vertical="center"/>
    </xf>
    <xf numFmtId="0" fontId="20" fillId="31" borderId="0">
      <alignment vertical="center"/>
    </xf>
    <xf numFmtId="0" fontId="19" fillId="32" borderId="0">
      <alignment vertical="center"/>
    </xf>
  </cellStyleXfs>
  <cellXfs count="9">
    <xf numFmtId="0" fontId="0" fillId="0" borderId="0" xfId="0" applyAlignment="1">
      <alignment vertical="center"/>
    </xf>
    <xf numFmtId="0" fontId="1" fillId="0" borderId="1" xfId="0" applyFont="1" applyBorder="1" applyAlignment="1">
      <alignment horizontal="center" vertical="center"/>
    </xf>
    <xf numFmtId="0" fontId="0" fillId="0" borderId="2" xfId="0" applyBorder="1" applyAlignment="1"/>
    <xf numFmtId="0" fontId="0" fillId="0" borderId="3" xfId="0" applyBorder="1" applyAlignment="1"/>
    <xf numFmtId="0" fontId="0" fillId="0" borderId="1" xfId="0" applyBorder="1" applyAlignment="1">
      <alignment horizontal="center" vertical="center"/>
    </xf>
    <xf numFmtId="2" fontId="0" fillId="0" borderId="1" xfId="0" applyNumberFormat="1" applyBorder="1" applyAlignment="1">
      <alignment horizontal="center" vertical="center"/>
    </xf>
    <xf numFmtId="0" fontId="0" fillId="0" borderId="0" xfId="0" applyAlignment="1">
      <alignment horizontal="center" vertical="center"/>
    </xf>
    <xf numFmtId="176" fontId="0" fillId="0" borderId="0" xfId="0" applyNumberFormat="1" applyAlignment="1">
      <alignment horizontal="center" vertical="center"/>
    </xf>
    <xf numFmtId="0" fontId="0" fillId="0" borderId="0" xfId="0" applyAlignmen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42"/>
  <sheetViews>
    <sheetView tabSelected="1" workbookViewId="0">
      <selection activeCell="A1" sqref="A1:F7"/>
    </sheetView>
  </sheetViews>
  <sheetFormatPr defaultColWidth="18.5833333333333" defaultRowHeight="13.8" outlineLevelCol="5"/>
  <sheetData>
    <row r="1" spans="1:6">
      <c r="A1" s="1" t="s">
        <v>0</v>
      </c>
      <c r="B1" s="2"/>
      <c r="C1" s="2"/>
      <c r="D1" s="2"/>
      <c r="E1" s="2"/>
      <c r="F1" s="3"/>
    </row>
    <row r="2" spans="1:6">
      <c r="A2" s="4" t="s">
        <v>1</v>
      </c>
      <c r="B2" s="4" t="s">
        <v>2</v>
      </c>
      <c r="C2" s="4" t="s">
        <v>3</v>
      </c>
      <c r="D2" s="4" t="s">
        <v>4</v>
      </c>
      <c r="E2" s="4" t="s">
        <v>5</v>
      </c>
      <c r="F2" s="4" t="s">
        <v>6</v>
      </c>
    </row>
    <row r="3" spans="1:6">
      <c r="A3" s="4" t="s">
        <v>7</v>
      </c>
      <c r="B3" s="4">
        <v>1</v>
      </c>
      <c r="C3" s="4">
        <v>403.028</v>
      </c>
      <c r="D3" s="4">
        <v>1088.176</v>
      </c>
      <c r="E3" s="5">
        <v>1.772</v>
      </c>
      <c r="F3" s="4">
        <v>19.282</v>
      </c>
    </row>
    <row r="4" spans="1:6">
      <c r="A4" s="4" t="s">
        <v>8</v>
      </c>
      <c r="B4" s="4"/>
      <c r="C4" s="4">
        <f>SUM(C3:C3)</f>
        <v>403.028</v>
      </c>
      <c r="D4" s="4">
        <f>SUM(D3:D3)</f>
        <v>1088.176</v>
      </c>
      <c r="E4" s="5">
        <f>F4/D4*100</f>
        <v>1.7719560071165</v>
      </c>
      <c r="F4" s="4">
        <f>SUM(F3:F3)</f>
        <v>19.282</v>
      </c>
    </row>
    <row r="5" spans="1:6">
      <c r="A5" s="4" t="s">
        <v>9</v>
      </c>
      <c r="B5" s="4">
        <v>2</v>
      </c>
      <c r="C5" s="4">
        <v>1182.394</v>
      </c>
      <c r="D5" s="4">
        <v>3192.464</v>
      </c>
      <c r="E5" s="5">
        <v>0.729</v>
      </c>
      <c r="F5" s="4">
        <v>23.272</v>
      </c>
    </row>
    <row r="6" spans="1:6">
      <c r="A6" s="4" t="s">
        <v>8</v>
      </c>
      <c r="B6" s="4"/>
      <c r="C6" s="4">
        <f>SUM(C5:C5)</f>
        <v>1182.394</v>
      </c>
      <c r="D6" s="4">
        <f>SUM(D5:D5)</f>
        <v>3192.464</v>
      </c>
      <c r="E6" s="5">
        <f>F6/D6*100</f>
        <v>0.728966716617634</v>
      </c>
      <c r="F6" s="4">
        <f>SUM(F5:F5)</f>
        <v>23.272</v>
      </c>
    </row>
    <row r="7" spans="1:6">
      <c r="A7" s="4" t="s">
        <v>10</v>
      </c>
      <c r="B7" s="4"/>
      <c r="C7" s="4">
        <f>C4+C6</f>
        <v>1585.422</v>
      </c>
      <c r="D7" s="4">
        <f>D4+D6</f>
        <v>4280.64</v>
      </c>
      <c r="E7" s="5">
        <f>F7/D7*100</f>
        <v>0.994103685430216</v>
      </c>
      <c r="F7" s="4">
        <f>F4+F6</f>
        <v>42.554</v>
      </c>
    </row>
    <row r="8" spans="1:6">
      <c r="A8" s="6"/>
      <c r="B8" s="6"/>
      <c r="C8" s="6"/>
      <c r="D8" s="6"/>
      <c r="E8" s="6"/>
      <c r="F8" s="6"/>
    </row>
    <row r="9" spans="1:6">
      <c r="A9" s="6"/>
      <c r="C9" s="6"/>
      <c r="D9" s="6"/>
      <c r="E9" s="7"/>
      <c r="F9" s="6"/>
    </row>
    <row r="10" spans="1:6">
      <c r="A10" s="6"/>
      <c r="B10" s="6"/>
      <c r="C10" s="6"/>
      <c r="D10" s="6"/>
      <c r="E10" s="6"/>
      <c r="F10" s="6"/>
    </row>
    <row r="11" spans="1:6">
      <c r="A11" s="6"/>
      <c r="B11" s="6"/>
      <c r="C11" s="6"/>
      <c r="D11" s="6"/>
      <c r="E11" s="6"/>
      <c r="F11" s="6"/>
    </row>
    <row r="12" spans="1:6">
      <c r="A12" s="6"/>
      <c r="B12" s="6"/>
      <c r="C12" s="6"/>
      <c r="D12" s="6"/>
      <c r="E12" s="6"/>
      <c r="F12" s="6"/>
    </row>
    <row r="13" spans="1:6">
      <c r="A13" s="6"/>
      <c r="B13" s="6"/>
      <c r="C13" s="6"/>
      <c r="D13" s="6"/>
      <c r="E13" s="6"/>
      <c r="F13" s="6"/>
    </row>
    <row r="14" spans="1:6">
      <c r="A14" s="6"/>
      <c r="B14" s="6"/>
      <c r="C14" s="6"/>
      <c r="D14" s="6"/>
      <c r="E14" s="6"/>
      <c r="F14" s="6"/>
    </row>
    <row r="15" ht="13" customHeight="1" spans="1:6">
      <c r="A15" s="6"/>
      <c r="B15" s="6"/>
      <c r="C15" s="6"/>
      <c r="D15" s="6"/>
      <c r="E15" s="6"/>
      <c r="F15" s="6"/>
    </row>
    <row r="16" spans="1:6">
      <c r="A16" s="6"/>
      <c r="C16" s="6"/>
      <c r="D16" s="6"/>
      <c r="E16" s="7"/>
      <c r="F16" s="6"/>
    </row>
    <row r="17" spans="1:6">
      <c r="A17" s="6"/>
      <c r="C17" s="6"/>
      <c r="D17" s="6"/>
      <c r="E17" s="7"/>
      <c r="F17" s="6"/>
    </row>
    <row r="18" spans="1:6">
      <c r="A18" s="8"/>
      <c r="B18" s="8"/>
      <c r="C18" s="8"/>
      <c r="D18" s="8"/>
      <c r="E18" s="8"/>
      <c r="F18" s="8"/>
    </row>
    <row r="19" spans="1:6">
      <c r="A19" s="8"/>
      <c r="B19" s="8"/>
      <c r="C19" s="8"/>
      <c r="D19" s="8"/>
      <c r="E19" s="8"/>
      <c r="F19" s="8"/>
    </row>
    <row r="20" spans="1:6">
      <c r="A20" s="8"/>
      <c r="B20" s="8"/>
      <c r="C20" s="8"/>
      <c r="D20" s="8"/>
      <c r="E20" s="8"/>
      <c r="F20" s="8"/>
    </row>
    <row r="21" spans="1:6">
      <c r="A21" s="8"/>
      <c r="B21" s="8"/>
      <c r="C21" s="8"/>
      <c r="D21" s="8"/>
      <c r="E21" s="8"/>
      <c r="F21" s="8"/>
    </row>
    <row r="22" spans="1:6">
      <c r="A22" s="8"/>
      <c r="B22" s="8"/>
      <c r="C22" s="8"/>
      <c r="D22" s="8"/>
      <c r="E22" s="8"/>
      <c r="F22" s="8"/>
    </row>
    <row r="23" spans="1:6">
      <c r="A23" s="8"/>
      <c r="B23" s="8"/>
      <c r="C23" s="8"/>
      <c r="D23" s="8"/>
      <c r="E23" s="8"/>
      <c r="F23" s="8"/>
    </row>
    <row r="24" spans="1:6">
      <c r="A24" s="8"/>
      <c r="B24" s="8"/>
      <c r="C24" s="8"/>
      <c r="D24" s="8"/>
      <c r="E24" s="8"/>
      <c r="F24" s="8"/>
    </row>
    <row r="25" spans="1:6">
      <c r="A25" s="8"/>
      <c r="B25" s="8"/>
      <c r="C25" s="8"/>
      <c r="D25" s="8"/>
      <c r="E25" s="8"/>
      <c r="F25" s="8"/>
    </row>
    <row r="26" spans="1:6">
      <c r="A26" s="8"/>
      <c r="B26" s="8"/>
      <c r="C26" s="8"/>
      <c r="D26" s="8"/>
      <c r="E26" s="8"/>
      <c r="F26" s="8"/>
    </row>
    <row r="27" spans="1:6">
      <c r="A27" s="8"/>
      <c r="B27" s="8"/>
      <c r="C27" s="8"/>
      <c r="D27" s="8"/>
      <c r="E27" s="8"/>
      <c r="F27" s="8"/>
    </row>
    <row r="28" spans="1:6">
      <c r="A28" s="8"/>
      <c r="B28" s="8"/>
      <c r="C28" s="8"/>
      <c r="D28" s="8"/>
      <c r="E28" s="8"/>
      <c r="F28" s="8"/>
    </row>
    <row r="29" spans="1:6">
      <c r="A29" s="8"/>
      <c r="B29" s="8"/>
      <c r="C29" s="8"/>
      <c r="D29" s="8"/>
      <c r="E29" s="8"/>
      <c r="F29" s="8"/>
    </row>
    <row r="30" spans="1:6">
      <c r="A30" s="8"/>
      <c r="B30" s="8"/>
      <c r="C30" s="8"/>
      <c r="D30" s="8"/>
      <c r="E30" s="8"/>
      <c r="F30" s="8"/>
    </row>
    <row r="31" spans="1:6">
      <c r="A31" s="8"/>
      <c r="B31" s="8"/>
      <c r="C31" s="8"/>
      <c r="D31" s="8"/>
      <c r="E31" s="8"/>
      <c r="F31" s="8"/>
    </row>
    <row r="32" spans="1:6">
      <c r="A32" s="8"/>
      <c r="B32" s="8"/>
      <c r="C32" s="8"/>
      <c r="D32" s="8"/>
      <c r="E32" s="8"/>
      <c r="F32" s="8"/>
    </row>
    <row r="33" spans="1:6">
      <c r="A33" s="8"/>
      <c r="B33" s="8"/>
      <c r="C33" s="8"/>
      <c r="D33" s="8"/>
      <c r="E33" s="8"/>
      <c r="F33" s="8"/>
    </row>
    <row r="34" spans="1:6">
      <c r="A34" s="8"/>
      <c r="B34" s="8"/>
      <c r="C34" s="8"/>
      <c r="D34" s="8"/>
      <c r="E34" s="8"/>
      <c r="F34" s="8"/>
    </row>
    <row r="35" spans="1:6">
      <c r="A35" s="8"/>
      <c r="B35" s="8"/>
      <c r="C35" s="8"/>
      <c r="D35" s="8"/>
      <c r="E35" s="8"/>
      <c r="F35" s="8"/>
    </row>
    <row r="36" spans="1:6">
      <c r="A36" s="8"/>
      <c r="B36" s="8"/>
      <c r="C36" s="8"/>
      <c r="D36" s="8"/>
      <c r="E36" s="8"/>
      <c r="F36" s="8"/>
    </row>
    <row r="37" spans="1:6">
      <c r="A37" s="8"/>
      <c r="B37" s="8"/>
      <c r="C37" s="8"/>
      <c r="D37" s="8"/>
      <c r="E37" s="8"/>
      <c r="F37" s="8"/>
    </row>
    <row r="38" spans="1:6">
      <c r="A38" s="8"/>
      <c r="B38" s="8"/>
      <c r="C38" s="8"/>
      <c r="D38" s="8"/>
      <c r="E38" s="8"/>
      <c r="F38" s="8"/>
    </row>
    <row r="39" spans="1:6">
      <c r="A39" s="6"/>
      <c r="B39" s="8"/>
      <c r="C39" s="6"/>
      <c r="D39" s="6"/>
      <c r="E39" s="6"/>
      <c r="F39" s="6"/>
    </row>
    <row r="40" spans="1:6">
      <c r="A40" s="8"/>
      <c r="B40" s="8"/>
      <c r="C40" s="8"/>
      <c r="D40" s="8"/>
      <c r="E40" s="8"/>
      <c r="F40" s="8"/>
    </row>
    <row r="41" spans="1:6">
      <c r="A41" s="8"/>
      <c r="B41" s="8"/>
      <c r="C41" s="8"/>
      <c r="D41" s="8"/>
      <c r="E41" s="8"/>
      <c r="F41" s="8"/>
    </row>
    <row r="42" spans="1:6">
      <c r="A42" s="6"/>
      <c r="B42" s="8"/>
      <c r="C42" s="6"/>
      <c r="D42" s="6"/>
      <c r="E42" s="6"/>
      <c r="F42" s="6"/>
    </row>
  </sheetData>
  <mergeCells count="1">
    <mergeCell ref="A1:F1"/>
  </mergeCells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天亮 杨</dc:creator>
  <cp:lastModifiedBy>韩</cp:lastModifiedBy>
  <dcterms:created xsi:type="dcterms:W3CDTF">2026-07-20T03:06:00Z</dcterms:created>
  <dcterms:modified xsi:type="dcterms:W3CDTF">2026-09-14T04:43:29Z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A8FE51D5CA9A4DCA87E9ED4BB2991144_12</vt:lpwstr>
  </property>
  <property fmtid="{D5CDD505-2E9C-101B-9397-08002B2CF9AE}" pid="3" name="KSOProductBuildVer">
    <vt:lpwstr>2052-12.1.0.28505</vt:lpwstr>
  </property>
  <property fmtid="{D5CDD505-2E9C-101B-9397-08002B2CF9AE}" pid="4" name="CalculationRule">
    <vt:i4>0</vt:i4>
  </property>
</Properties>
</file>