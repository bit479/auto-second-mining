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7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_ "/>
  </numFmts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3" borderId="7" applyAlignment="1">
      <alignment vertical="center"/>
    </xf>
    <xf numFmtId="0" fontId="11" fillId="4" borderId="8" applyAlignment="1">
      <alignment vertical="center"/>
    </xf>
    <xf numFmtId="0" fontId="12" fillId="4" borderId="7" applyAlignment="1">
      <alignment vertical="center"/>
    </xf>
    <xf numFmtId="0" fontId="13" fillId="5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vertical="center"/>
    </xf>
    <xf numFmtId="164" fontId="0" fillId="0" borderId="14" applyAlignment="1" pivotButton="0" quotePrefix="0" xfId="0">
      <alignment horizontal="center" vertical="center"/>
    </xf>
    <xf numFmtId="0" fontId="0" fillId="0" borderId="1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tabSelected="1" workbookViewId="0">
      <selection activeCell="H14" sqref="H14"/>
    </sheetView>
  </sheetViews>
  <sheetFormatPr baseColWidth="8" defaultColWidth="18.5833333333333" defaultRowHeight="14"/>
  <sheetData>
    <row r="1">
      <c r="A1" s="1" t="inlineStr">
        <is>
          <t>3970平台 0818炮孔数据报告</t>
        </is>
      </c>
      <c r="B1" s="2" t="n"/>
      <c r="C1" s="2" t="n"/>
      <c r="D1" s="2" t="n"/>
      <c r="E1" s="2" t="n"/>
      <c r="F1" s="3" t="n"/>
    </row>
    <row r="2">
      <c r="A2" s="4" t="inlineStr">
        <is>
          <t>类型</t>
        </is>
      </c>
      <c r="B2" s="4" t="inlineStr">
        <is>
          <t>体号</t>
        </is>
      </c>
      <c r="C2" s="4" t="inlineStr">
        <is>
          <t>体积</t>
        </is>
      </c>
      <c r="D2" s="4" t="inlineStr">
        <is>
          <t>重量（t）</t>
        </is>
      </c>
      <c r="E2" s="4" t="inlineStr">
        <is>
          <t>平均品位(Au)</t>
        </is>
      </c>
      <c r="F2" s="4" t="inlineStr">
        <is>
          <t>金属量（百克）</t>
        </is>
      </c>
    </row>
    <row r="3">
      <c r="A3" s="4" t="inlineStr">
        <is>
          <t>0.500-1.000</t>
        </is>
      </c>
      <c r="B3" s="4" t="n">
        <v>1</v>
      </c>
      <c r="C3" s="4" t="n">
        <v>247.786</v>
      </c>
      <c r="D3" s="4" t="n">
        <v>669.022</v>
      </c>
      <c r="E3" s="10" t="n">
        <v>0.53</v>
      </c>
      <c r="F3" s="4" t="n">
        <v>3.546</v>
      </c>
    </row>
    <row r="4">
      <c r="A4" s="4" t="inlineStr">
        <is>
          <t>0.500-1.000</t>
        </is>
      </c>
      <c r="B4" s="4" t="n">
        <v>2</v>
      </c>
      <c r="C4" s="4" t="n">
        <v>241.496</v>
      </c>
      <c r="D4" s="4" t="n">
        <v>652.038</v>
      </c>
      <c r="E4" s="10" t="n">
        <v>0.665</v>
      </c>
      <c r="F4" s="4" t="n">
        <v>4.338</v>
      </c>
    </row>
    <row r="5">
      <c r="A5" s="4" t="inlineStr">
        <is>
          <t>小计</t>
        </is>
      </c>
      <c r="B5" s="4" t="n"/>
      <c r="C5" s="4">
        <f>SUM(C3:C4)</f>
        <v/>
      </c>
      <c r="D5" s="4">
        <f>SUM(D3:D4)</f>
        <v/>
      </c>
      <c r="E5" s="10">
        <f>F5/D5*100</f>
        <v/>
      </c>
      <c r="F5" s="4">
        <f>SUM(F3:F4)</f>
        <v/>
      </c>
    </row>
    <row r="6">
      <c r="A6" s="4" t="inlineStr">
        <is>
          <t>总计</t>
        </is>
      </c>
      <c r="B6" s="4" t="n"/>
      <c r="C6" s="4">
        <f>C5</f>
        <v/>
      </c>
      <c r="D6" s="4">
        <f>D5</f>
        <v/>
      </c>
      <c r="E6" s="10">
        <f>F6/D6*100</f>
        <v/>
      </c>
      <c r="F6" s="4">
        <f>F5</f>
        <v/>
      </c>
    </row>
    <row r="7">
      <c r="A7" s="11" t="n"/>
      <c r="B7" s="12" t="n"/>
      <c r="C7" s="11" t="n"/>
      <c r="D7" s="11" t="n"/>
      <c r="E7" s="13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2" t="n"/>
      <c r="C9" s="11" t="n"/>
      <c r="D9" s="11" t="n"/>
      <c r="E9" s="13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 ht="13" customHeight="1" s="9">
      <c r="A15" s="11" t="n"/>
      <c r="B15" s="11" t="n"/>
      <c r="C15" s="11" t="n"/>
      <c r="D15" s="11" t="n"/>
      <c r="E15" s="11" t="n"/>
      <c r="F15" s="11" t="n"/>
    </row>
    <row r="16">
      <c r="A16" s="11" t="n"/>
      <c r="B16" s="12" t="n"/>
      <c r="C16" s="11" t="n"/>
      <c r="D16" s="11" t="n"/>
      <c r="E16" s="13" t="n"/>
      <c r="F16" s="11" t="n"/>
    </row>
    <row r="17">
      <c r="A17" s="11" t="n"/>
      <c r="B17" s="12" t="n"/>
      <c r="C17" s="11" t="n"/>
      <c r="D17" s="11" t="n"/>
      <c r="E17" s="13" t="n"/>
      <c r="F17" s="11" t="n"/>
    </row>
    <row r="18">
      <c r="A18" s="14" t="n"/>
      <c r="B18" s="14" t="n"/>
      <c r="C18" s="14" t="n"/>
      <c r="D18" s="14" t="n"/>
      <c r="E18" s="14" t="n"/>
      <c r="F18" s="14" t="n"/>
    </row>
    <row r="19">
      <c r="A19" s="14" t="n"/>
      <c r="B19" s="14" t="n"/>
      <c r="C19" s="14" t="n"/>
      <c r="D19" s="14" t="n"/>
      <c r="E19" s="14" t="n"/>
      <c r="F19" s="14" t="n"/>
    </row>
    <row r="20">
      <c r="A20" s="14" t="n"/>
      <c r="B20" s="14" t="n"/>
      <c r="C20" s="14" t="n"/>
      <c r="D20" s="14" t="n"/>
      <c r="E20" s="14" t="n"/>
      <c r="F20" s="14" t="n"/>
    </row>
    <row r="21">
      <c r="A21" s="14" t="n"/>
      <c r="B21" s="14" t="n"/>
      <c r="C21" s="14" t="n"/>
      <c r="D21" s="14" t="n"/>
      <c r="E21" s="14" t="n"/>
      <c r="F21" s="14" t="n"/>
    </row>
    <row r="22">
      <c r="A22" s="14" t="n"/>
      <c r="B22" s="14" t="n"/>
      <c r="C22" s="14" t="n"/>
      <c r="D22" s="14" t="n"/>
      <c r="E22" s="14" t="n"/>
      <c r="F22" s="14" t="n"/>
    </row>
    <row r="23">
      <c r="A23" s="14" t="n"/>
      <c r="B23" s="14" t="n"/>
      <c r="C23" s="14" t="n"/>
      <c r="D23" s="14" t="n"/>
      <c r="E23" s="14" t="n"/>
      <c r="F23" s="14" t="n"/>
    </row>
    <row r="24">
      <c r="A24" s="14" t="n"/>
      <c r="B24" s="14" t="n"/>
      <c r="C24" s="14" t="n"/>
      <c r="D24" s="14" t="n"/>
      <c r="E24" s="14" t="n"/>
      <c r="F24" s="14" t="n"/>
    </row>
    <row r="25">
      <c r="A25" s="14" t="n"/>
      <c r="B25" s="14" t="n"/>
      <c r="C25" s="14" t="n"/>
      <c r="D25" s="14" t="n"/>
      <c r="E25" s="14" t="n"/>
      <c r="F25" s="14" t="n"/>
    </row>
    <row r="26">
      <c r="A26" s="14" t="n"/>
      <c r="B26" s="14" t="n"/>
      <c r="C26" s="14" t="n"/>
      <c r="D26" s="14" t="n"/>
      <c r="E26" s="14" t="n"/>
      <c r="F26" s="14" t="n"/>
    </row>
    <row r="27">
      <c r="A27" s="14" t="n"/>
      <c r="B27" s="14" t="n"/>
      <c r="C27" s="14" t="n"/>
      <c r="D27" s="14" t="n"/>
      <c r="E27" s="14" t="n"/>
      <c r="F27" s="14" t="n"/>
    </row>
    <row r="28">
      <c r="A28" s="14" t="n"/>
      <c r="B28" s="14" t="n"/>
      <c r="C28" s="14" t="n"/>
      <c r="D28" s="14" t="n"/>
      <c r="E28" s="14" t="n"/>
      <c r="F28" s="14" t="n"/>
    </row>
    <row r="29">
      <c r="A29" s="14" t="n"/>
      <c r="B29" s="14" t="n"/>
      <c r="C29" s="14" t="n"/>
      <c r="D29" s="14" t="n"/>
      <c r="E29" s="14" t="n"/>
      <c r="F29" s="14" t="n"/>
    </row>
    <row r="30">
      <c r="A30" s="14" t="n"/>
      <c r="B30" s="14" t="n"/>
      <c r="C30" s="14" t="n"/>
      <c r="D30" s="14" t="n"/>
      <c r="E30" s="14" t="n"/>
      <c r="F30" s="14" t="n"/>
    </row>
    <row r="31">
      <c r="A31" s="14" t="n"/>
      <c r="B31" s="14" t="n"/>
      <c r="C31" s="14" t="n"/>
      <c r="D31" s="14" t="n"/>
      <c r="E31" s="14" t="n"/>
      <c r="F31" s="14" t="n"/>
    </row>
    <row r="32">
      <c r="A32" s="14" t="n"/>
      <c r="B32" s="14" t="n"/>
      <c r="C32" s="14" t="n"/>
      <c r="D32" s="14" t="n"/>
      <c r="E32" s="14" t="n"/>
      <c r="F32" s="14" t="n"/>
    </row>
    <row r="33">
      <c r="A33" s="14" t="n"/>
      <c r="B33" s="14" t="n"/>
      <c r="C33" s="14" t="n"/>
      <c r="D33" s="14" t="n"/>
      <c r="E33" s="14" t="n"/>
      <c r="F33" s="14" t="n"/>
    </row>
    <row r="34">
      <c r="A34" s="14" t="n"/>
      <c r="B34" s="14" t="n"/>
      <c r="C34" s="14" t="n"/>
      <c r="D34" s="14" t="n"/>
      <c r="E34" s="14" t="n"/>
      <c r="F34" s="14" t="n"/>
    </row>
    <row r="35">
      <c r="A35" s="14" t="n"/>
      <c r="B35" s="14" t="n"/>
      <c r="C35" s="14" t="n"/>
      <c r="D35" s="14" t="n"/>
      <c r="E35" s="14" t="n"/>
      <c r="F35" s="14" t="n"/>
    </row>
    <row r="36">
      <c r="A36" s="14" t="n"/>
      <c r="B36" s="14" t="n"/>
      <c r="C36" s="14" t="n"/>
      <c r="D36" s="14" t="n"/>
      <c r="E36" s="14" t="n"/>
      <c r="F36" s="14" t="n"/>
    </row>
    <row r="37">
      <c r="A37" s="14" t="n"/>
      <c r="B37" s="14" t="n"/>
      <c r="C37" s="14" t="n"/>
      <c r="D37" s="14" t="n"/>
      <c r="E37" s="14" t="n"/>
      <c r="F37" s="14" t="n"/>
    </row>
    <row r="38">
      <c r="A38" s="14" t="n"/>
      <c r="B38" s="14" t="n"/>
      <c r="C38" s="14" t="n"/>
      <c r="D38" s="14" t="n"/>
      <c r="E38" s="14" t="n"/>
      <c r="F38" s="14" t="n"/>
    </row>
    <row r="39">
      <c r="A39" s="11" t="n"/>
      <c r="B39" s="14" t="n"/>
      <c r="C39" s="11" t="n"/>
      <c r="D39" s="11" t="n"/>
      <c r="E39" s="11" t="n"/>
      <c r="F39" s="11" t="n"/>
    </row>
    <row r="40">
      <c r="A40" s="14" t="n"/>
      <c r="B40" s="14" t="n"/>
      <c r="C40" s="14" t="n"/>
      <c r="D40" s="14" t="n"/>
      <c r="E40" s="14" t="n"/>
      <c r="F40" s="14" t="n"/>
    </row>
    <row r="41">
      <c r="A41" s="14" t="n"/>
      <c r="B41" s="14" t="n"/>
      <c r="C41" s="14" t="n"/>
      <c r="D41" s="14" t="n"/>
      <c r="E41" s="14" t="n"/>
      <c r="F41" s="14" t="n"/>
    </row>
    <row r="42">
      <c r="A42" s="11" t="n"/>
      <c r="B42" s="14" t="n"/>
      <c r="C42" s="11" t="n"/>
      <c r="D42" s="11" t="n"/>
      <c r="E42" s="11" t="n"/>
      <c r="F42" s="11" t="n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天亮 杨</dc:creator>
  <dcterms:created xmlns:dcterms="http://purl.org/dc/terms/" xmlns:xsi="http://www.w3.org/2001/XMLSchema-instance" xsi:type="dcterms:W3CDTF">2026-07-20T03:06:00Z</dcterms:created>
  <dcterms:modified xmlns:dcterms="http://purl.org/dc/terms/" xmlns:xsi="http://www.w3.org/2001/XMLSchema-instance" xsi:type="dcterms:W3CDTF">2026-08-18T11:04:22Z</dcterms:modified>
  <cp:lastModifiedBy>杨天亮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A8FE51D5CA9A4DCA87E9ED4BB2991144_12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