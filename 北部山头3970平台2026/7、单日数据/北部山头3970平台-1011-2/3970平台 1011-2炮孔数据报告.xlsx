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AAAWK\2026地质生产数据\北部山头2026\北部山头3970平台2026\7、单日数据\北部山头3970平台-1011-2\"/>
    </mc:Choice>
  </mc:AlternateContent>
  <xr:revisionPtr revIDLastSave="0" documentId="13_ncr:1_{B1937C09-5DE1-4B24-8340-B0AFAABADAEC}" xr6:coauthVersionLast="47" xr6:coauthVersionMax="47" xr10:uidLastSave="{00000000-0000-0000-0000-000000000000}"/>
  <bookViews>
    <workbookView xWindow="1152" yWindow="720" windowWidth="20556" windowHeight="12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F6" i="1"/>
  <c r="C6" i="1"/>
  <c r="C5" i="1"/>
  <c r="E5" i="1"/>
  <c r="D5" i="1"/>
  <c r="F5" i="1"/>
</calcChain>
</file>

<file path=xl/sharedStrings.xml><?xml version="1.0" encoding="utf-8"?>
<sst xmlns="http://schemas.openxmlformats.org/spreadsheetml/2006/main" count="31" uniqueCount="15">
  <si>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</si>
  <si>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</si>
  <si>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</si>
  <si>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</si>
  <si>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</si>
  <si>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</si>
  <si>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</si>
  <si>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小计</t>
    <phoneticPr fontId="6" type="noConversion"/>
  </si>
  <si>
    <t>合计</t>
    <phoneticPr fontId="6" type="noConversion"/>
  </si>
  <si>
    <t>3DMine 炮孔数据库报告</t>
  </si>
  <si>
    <t>重量</t>
  </si>
  <si>
    <t>金属量</t>
  </si>
  <si>
    <t>小计</t>
  </si>
  <si>
    <t>总计</t>
  </si>
  <si>
    <t>北部山头3970平台 1011-2炮孔数据报告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</si>
</sst>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0" xfId="2">
      <alignment vertical="center"/>
    </xf>
    <xf numFmtId="0" fontId="3" fillId="0" borderId="0" xfId="2" applyAlignment="1">
      <alignment horizontal="center"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3" fillId="0" borderId="1" xfId="2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3" fillId="0" borderId="0" xfId="2" applyNumberFormat="1">
      <alignment vertical="center"/>
    </xf>
    <xf numFmtId="177" fontId="3" fillId="0" borderId="0" xfId="2" applyNumberFormat="1" applyAlignment="1">
      <alignment horizontal="center" vertical="center"/>
    </xf>
    <xf numFmtId="177" fontId="2" fillId="0" borderId="0" xfId="3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5" fillId="0" borderId="0" xfId="3" applyFont="1" applyAlignment="1">
      <alignment horizontal="center" vertical="center"/>
    </xf>
    <xf numFmtId="0" fontId="2" fillId="0" borderId="0" xfId="3" applyAlignment="1">
      <alignment horizontal="center" vertical="center"/>
    </xf>
    <xf numFmtId="0" fontId="1" fillId="0" borderId="0" xfId="4">
      <alignment vertical="center"/>
    </xf>
    <xf numFmtId="0" fontId="1" fillId="0" borderId="0" xfId="4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1" fillId="0" borderId="0" xfId="4" applyAlignment="1">
      <alignment horizontal="center" vertical="center"/>
    </xf>
    <xf numFmtId="177" fontId="1" fillId="0" borderId="0" xfId="4" applyNumberFormat="1" applyAlignment="1">
      <alignment horizontal="center" vertical="center"/>
    </xf>
    <xf numFmtId="0" fontId="1" fillId="0" borderId="0" xfId="4">
      <alignment vertical="center"/>
    </xf>
    <xf numFmtId="0" fontId="1" fillId="0" borderId="0" xfId="4" applyAlignment="1">
      <alignment horizontal="center" vertical="center"/>
    </xf>
    <xf numFmtId="0" fontId="1" fillId="0" borderId="1" xfId="4" applyBorder="1" applyAlignment="1">
      <alignment horizontal="center" vertical="center"/>
    </xf>
    <xf numFmtId="177" fontId="1" fillId="0" borderId="1" xfId="4" applyNumberFormat="1" applyBorder="1" applyAlignment="1">
      <alignment horizontal="center" vertical="center"/>
    </xf>
  </cellXfs>
  <cellStyles count="5">
    <cellStyle name="常规" xfId="0" builtinId="0"/>
    <cellStyle name="常规 2" xfId="1" xr:uid="{78764F95-5E3E-4A09-BBBA-410A80E15240}"/>
    <cellStyle name="常规 3" xfId="2" xr:uid="{641B604C-F168-4D99-9975-2E2C85743811}"/>
    <cellStyle name="常规 4" xfId="3" xr:uid="{96E98220-9443-4FCC-81E6-B9AB9CC44E1A}"/>
    <cellStyle name="常规 5" xfId="4" xr:uid="{8303D272-66BF-49BD-9387-65EF5872A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sqref="A1:F6"/>
    </sheetView>
  </sheetViews>
  <sheetFormatPr defaultColWidth="18.5546875" defaultRowHeight="13.8" x14ac:dyDescent="0.25"/>
  <cols>
    <col min="1" max="4" width="18.5546875" style="2"/>
    <col min="5" max="5" width="18.5546875" style="10"/>
    <col min="6" max="16384" width="18.5546875" style="2"/>
  </cols>
  <sheetData>
    <row r="1" spans="1:6" ht="13.8" customHeight="1" x14ac:dyDescent="0.25">
      <c r="A1" s="14" t="s">
        <v>14</v>
      </c>
      <c r="B1" s="15"/>
      <c r="C1" s="15"/>
      <c r="D1" s="15"/>
      <c r="E1" s="16"/>
      <c r="F1" s="15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8" t="s">
        <v>4</v>
      </c>
      <c r="F2" s="1" t="s">
        <v>5</v>
      </c>
    </row>
    <row r="3" spans="1:6" x14ac:dyDescent="0.25">
      <c r="A3" s="26" t="s">
        <v>6</v>
      </c>
      <c r="B3" s="26">
        <v>1</v>
      </c>
      <c r="C3" s="26">
        <v>553.41200000000003</v>
      </c>
      <c r="D3" s="26">
        <v>1494.212</v>
      </c>
      <c r="E3" s="27">
        <v>0.65200000000000002</v>
      </c>
      <c r="F3" s="26">
        <v>9.7360000000000007</v>
      </c>
    </row>
    <row r="4" spans="1:6" x14ac:dyDescent="0.25">
      <c r="A4" s="26" t="s">
        <v>6</v>
      </c>
      <c r="B4" s="26">
        <v>2</v>
      </c>
      <c r="C4" s="26">
        <v>1097.377</v>
      </c>
      <c r="D4" s="26">
        <v>2962.9169999999999</v>
      </c>
      <c r="E4" s="27">
        <v>0.76500000000000001</v>
      </c>
      <c r="F4" s="26">
        <v>22.675999999999998</v>
      </c>
    </row>
    <row r="5" spans="1:6" x14ac:dyDescent="0.25">
      <c r="A5" s="3" t="s">
        <v>7</v>
      </c>
      <c r="B5" s="3"/>
      <c r="C5" s="3">
        <f>C3+C4</f>
        <v>1650.789</v>
      </c>
      <c r="D5" s="3">
        <f t="shared" ref="D5:F5" si="0">D3+D4</f>
        <v>4457.1289999999999</v>
      </c>
      <c r="E5" s="9">
        <f>F5/D5*100</f>
        <v>0.72719456852157527</v>
      </c>
      <c r="F5" s="3">
        <f t="shared" si="0"/>
        <v>32.411999999999999</v>
      </c>
    </row>
    <row r="6" spans="1:6" x14ac:dyDescent="0.25">
      <c r="A6" s="3" t="s">
        <v>8</v>
      </c>
      <c r="B6" s="3"/>
      <c r="C6" s="3">
        <f>C3+C4</f>
        <v>1650.789</v>
      </c>
      <c r="D6" s="3">
        <f t="shared" ref="D6:F6" si="1">D3+D4</f>
        <v>4457.1289999999999</v>
      </c>
      <c r="E6" s="9">
        <f>F6/D6*100</f>
        <v>0.72719456852157527</v>
      </c>
      <c r="F6" s="3">
        <f t="shared" si="1"/>
        <v>32.411999999999999</v>
      </c>
    </row>
    <row r="7" spans="1:6" x14ac:dyDescent="0.25">
      <c r="A7" s="5"/>
      <c r="B7" s="4"/>
      <c r="C7" s="5"/>
      <c r="D7" s="5"/>
      <c r="E7" s="11"/>
      <c r="F7" s="5"/>
    </row>
    <row r="8" spans="1:6" x14ac:dyDescent="0.25">
      <c r="A8" s="5"/>
      <c r="B8" s="5"/>
      <c r="C8" s="5"/>
      <c r="D8" s="5"/>
      <c r="E8" s="12"/>
      <c r="F8" s="5"/>
    </row>
    <row r="9" spans="1:6" x14ac:dyDescent="0.25">
      <c r="A9" s="5"/>
      <c r="B9" s="4"/>
      <c r="C9" s="5"/>
      <c r="D9" s="5"/>
      <c r="E9" s="11"/>
      <c r="F9" s="5"/>
    </row>
    <row r="10" spans="1:6" x14ac:dyDescent="0.25">
      <c r="A10" s="21" t="s">
        <v>9</v>
      </c>
      <c r="B10" s="22"/>
      <c r="C10" s="22"/>
      <c r="D10" s="22"/>
      <c r="E10" s="22"/>
      <c r="F10" s="22"/>
    </row>
    <row r="11" spans="1:6" x14ac:dyDescent="0.25">
      <c r="A11" s="20" t="s">
        <v>0</v>
      </c>
      <c r="B11" s="20" t="s">
        <v>1</v>
      </c>
      <c r="C11" s="20" t="s">
        <v>2</v>
      </c>
      <c r="D11" s="20" t="s">
        <v>10</v>
      </c>
      <c r="E11" s="23" t="s">
        <v>4</v>
      </c>
      <c r="F11" s="20" t="s">
        <v>11</v>
      </c>
    </row>
    <row r="12" spans="1:6" x14ac:dyDescent="0.25">
      <c r="A12" s="20" t="s">
        <v>6</v>
      </c>
      <c r="B12" s="20">
        <v>1</v>
      </c>
      <c r="C12" s="20">
        <v>553.41200000000003</v>
      </c>
      <c r="D12" s="20">
        <v>1494.212</v>
      </c>
      <c r="E12" s="23">
        <v>0.65200000000000002</v>
      </c>
      <c r="F12" s="20">
        <v>9.7360000000000007</v>
      </c>
    </row>
    <row r="13" spans="1:6" x14ac:dyDescent="0.25">
      <c r="A13" s="20" t="s">
        <v>12</v>
      </c>
      <c r="B13" s="19"/>
      <c r="C13" s="20">
        <v>553.41200000000003</v>
      </c>
      <c r="D13" s="20">
        <v>1494.212</v>
      </c>
      <c r="E13" s="23">
        <v>0.65200000000000002</v>
      </c>
      <c r="F13" s="20">
        <v>9.7360000000000007</v>
      </c>
    </row>
    <row r="14" spans="1:6" x14ac:dyDescent="0.25">
      <c r="A14" s="20" t="s">
        <v>13</v>
      </c>
      <c r="B14" s="19"/>
      <c r="C14" s="20">
        <v>553.41200000000003</v>
      </c>
      <c r="D14" s="20">
        <v>1494.212</v>
      </c>
      <c r="E14" s="23">
        <v>0.65200000000000002</v>
      </c>
      <c r="F14" s="20">
        <v>9.7360000000000007</v>
      </c>
    </row>
    <row r="15" spans="1:6" x14ac:dyDescent="0.25">
      <c r="A15" s="7"/>
      <c r="B15" s="6"/>
      <c r="C15" s="7"/>
      <c r="D15" s="7"/>
      <c r="E15" s="13"/>
      <c r="F15" s="7"/>
    </row>
    <row r="16" spans="1:6" x14ac:dyDescent="0.25">
      <c r="A16" s="7"/>
      <c r="B16" s="6"/>
      <c r="C16" s="7"/>
      <c r="D16" s="7"/>
      <c r="E16" s="13"/>
      <c r="F16" s="7"/>
    </row>
    <row r="17" spans="1:6" x14ac:dyDescent="0.25">
      <c r="A17" s="21" t="s">
        <v>9</v>
      </c>
      <c r="B17" s="22"/>
      <c r="C17" s="22"/>
      <c r="D17" s="22"/>
      <c r="E17" s="22"/>
      <c r="F17" s="22"/>
    </row>
    <row r="18" spans="1:6" x14ac:dyDescent="0.25">
      <c r="A18" s="25" t="s">
        <v>0</v>
      </c>
      <c r="B18" s="25" t="s">
        <v>1</v>
      </c>
      <c r="C18" s="25" t="s">
        <v>2</v>
      </c>
      <c r="D18" s="25" t="s">
        <v>10</v>
      </c>
      <c r="E18" s="23" t="s">
        <v>4</v>
      </c>
      <c r="F18" s="25" t="s">
        <v>11</v>
      </c>
    </row>
    <row r="19" spans="1:6" x14ac:dyDescent="0.25">
      <c r="A19" s="25" t="s">
        <v>6</v>
      </c>
      <c r="B19" s="25">
        <v>1</v>
      </c>
      <c r="C19" s="25">
        <v>1097.377</v>
      </c>
      <c r="D19" s="25">
        <v>2962.9169999999999</v>
      </c>
      <c r="E19" s="23">
        <v>0.76500000000000001</v>
      </c>
      <c r="F19" s="25">
        <v>22.675999999999998</v>
      </c>
    </row>
    <row r="20" spans="1:6" x14ac:dyDescent="0.25">
      <c r="A20" s="25" t="s">
        <v>12</v>
      </c>
      <c r="B20" s="24"/>
      <c r="C20" s="25">
        <v>1097.377</v>
      </c>
      <c r="D20" s="25">
        <v>2962.9169999999999</v>
      </c>
      <c r="E20" s="23">
        <v>0.76500000000000001</v>
      </c>
      <c r="F20" s="25">
        <v>22.675999999999998</v>
      </c>
    </row>
    <row r="21" spans="1:6" x14ac:dyDescent="0.25">
      <c r="A21" s="25" t="s">
        <v>13</v>
      </c>
      <c r="B21" s="24"/>
      <c r="C21" s="25">
        <v>1097.377</v>
      </c>
      <c r="D21" s="25">
        <v>2962.9169999999999</v>
      </c>
      <c r="E21" s="23">
        <v>0.76500000000000001</v>
      </c>
      <c r="F21" s="25">
        <v>22.675999999999998</v>
      </c>
    </row>
    <row r="22" spans="1:6" x14ac:dyDescent="0.25">
      <c r="A22" s="7"/>
      <c r="B22" s="6"/>
      <c r="C22" s="7"/>
      <c r="D22" s="7"/>
      <c r="E22" s="13"/>
      <c r="F22" s="7"/>
    </row>
    <row r="23" spans="1:6" x14ac:dyDescent="0.25">
      <c r="A23" s="7"/>
      <c r="B23" s="7"/>
      <c r="C23" s="7"/>
      <c r="D23" s="7"/>
      <c r="E23" s="13"/>
      <c r="F23" s="7"/>
    </row>
    <row r="24" spans="1:6" x14ac:dyDescent="0.25">
      <c r="A24" s="7"/>
      <c r="B24" s="7"/>
      <c r="C24" s="7"/>
      <c r="D24" s="7"/>
      <c r="E24" s="13"/>
      <c r="F24" s="7"/>
    </row>
    <row r="25" spans="1:6" x14ac:dyDescent="0.25">
      <c r="A25" s="7"/>
      <c r="B25" s="6"/>
      <c r="C25" s="7"/>
      <c r="D25" s="7"/>
      <c r="E25" s="13"/>
      <c r="F25" s="7"/>
    </row>
    <row r="26" spans="1:6" x14ac:dyDescent="0.25">
      <c r="A26" s="7"/>
      <c r="B26" s="6"/>
      <c r="C26" s="7"/>
      <c r="D26" s="7"/>
      <c r="E26" s="13"/>
      <c r="F26" s="7"/>
    </row>
    <row r="27" spans="1:6" x14ac:dyDescent="0.25">
      <c r="A27" s="7"/>
    </row>
    <row r="29" spans="1:6" x14ac:dyDescent="0.25">
      <c r="A29" s="17"/>
      <c r="B29" s="18"/>
      <c r="C29" s="18"/>
      <c r="D29" s="18"/>
      <c r="E29" s="18"/>
      <c r="F29" s="18"/>
    </row>
    <row r="30" spans="1:6" x14ac:dyDescent="0.25">
      <c r="A30" s="7"/>
      <c r="B30" s="7"/>
      <c r="C30" s="7"/>
      <c r="D30" s="7"/>
      <c r="E30" s="13"/>
      <c r="F30" s="7"/>
    </row>
    <row r="31" spans="1:6" x14ac:dyDescent="0.25">
      <c r="A31" s="7"/>
      <c r="B31" s="7"/>
      <c r="C31" s="7"/>
      <c r="D31" s="7"/>
      <c r="E31" s="13"/>
      <c r="F31" s="7"/>
    </row>
    <row r="32" spans="1:6" x14ac:dyDescent="0.25">
      <c r="A32" s="7"/>
      <c r="B32" s="6"/>
      <c r="C32" s="7"/>
      <c r="D32" s="7"/>
      <c r="E32" s="13"/>
      <c r="F32" s="7"/>
    </row>
    <row r="33" spans="1:6" x14ac:dyDescent="0.25">
      <c r="A33" s="7"/>
      <c r="B33" s="6"/>
      <c r="C33" s="7"/>
      <c r="D33" s="7"/>
      <c r="E33" s="13"/>
      <c r="F33" s="7"/>
    </row>
    <row r="34" spans="1:6" x14ac:dyDescent="0.25">
      <c r="A34" s="7"/>
    </row>
  </sheetData>
  <mergeCells count="4">
    <mergeCell ref="A1:F1"/>
    <mergeCell ref="A29:F29"/>
    <mergeCell ref="A10:F10"/>
    <mergeCell ref="A17:F1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2026-10-13T09:21:01Z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