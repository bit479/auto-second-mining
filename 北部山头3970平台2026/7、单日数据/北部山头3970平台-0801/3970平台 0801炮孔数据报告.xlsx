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f0f658aaf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d58db430dc4c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_ "/>
  </x:numFmts>
  <x:fonts count="21">
    <x:font>
      <x:sz val="11"/>
      <x:color theme="1"/>
      <x:name val="等线"/>
    </x:font>
    <x:font>
      <x:b/>
      <x:sz val="10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2" fillId="0" borderId="0">
      <x:alignment vertical="center"/>
    </x:xf>
    <x:xf numFmtId="0" fontId="3" fillId="0" borderId="0">
      <x:alignment vertical="center"/>
    </x:xf>
    <x:xf numFmtId="0" fontId="0" fillId="2" borderId="4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5">
      <x:alignment vertical="center"/>
    </x:xf>
    <x:xf numFmtId="0" fontId="8" fillId="0" borderId="5">
      <x:alignment vertical="center"/>
    </x:xf>
    <x:xf numFmtId="0" fontId="9" fillId="0" borderId="6">
      <x:alignment vertical="center"/>
    </x:xf>
    <x:xf numFmtId="0" fontId="9" fillId="0" borderId="0">
      <x:alignment vertical="center"/>
    </x:xf>
    <x:xf numFmtId="0" fontId="10" fillId="3" borderId="7">
      <x:alignment vertical="center"/>
    </x:xf>
    <x:xf numFmtId="0" fontId="11" fillId="4" borderId="8">
      <x:alignment vertical="center"/>
    </x:xf>
    <x:xf numFmtId="0" fontId="12" fillId="4" borderId="7">
      <x:alignment vertical="center"/>
    </x:xf>
    <x:xf numFmtId="0" fontId="13" fillId="5" borderId="9">
      <x:alignment vertical="center"/>
    </x:xf>
    <x:xf numFmtId="0" fontId="14" fillId="0" borderId="10">
      <x:alignment vertical="center"/>
    </x:xf>
    <x:xf numFmtId="0" fontId="15" fillId="0" borderId="11">
      <x:alignment vertical="center"/>
    </x:xf>
    <x:xf numFmtId="0" fontId="16" fillId="6" borderId="0">
      <x:alignment vertical="center"/>
    </x:xf>
    <x:xf numFmtId="0" fontId="17" fillId="7" borderId="0">
      <x:alignment vertical="center"/>
    </x:xf>
    <x:xf numFmtId="0" fontId="18" fillId="8" borderId="0">
      <x:alignment vertical="center"/>
    </x:xf>
    <x:xf numFmtId="0" fontId="19" fillId="9" borderId="0">
      <x:alignment vertical="center"/>
    </x:xf>
    <x:xf numFmtId="0" fontId="20" fillId="10" borderId="0">
      <x:alignment vertical="center"/>
    </x:xf>
    <x:xf numFmtId="0" fontId="20" fillId="11" borderId="0">
      <x:alignment vertical="center"/>
    </x:xf>
    <x:xf numFmtId="0" fontId="19" fillId="12" borderId="0">
      <x:alignment vertical="center"/>
    </x:xf>
    <x:xf numFmtId="0" fontId="19" fillId="13" borderId="0">
      <x:alignment vertical="center"/>
    </x:xf>
    <x:xf numFmtId="0" fontId="20" fillId="14" borderId="0">
      <x:alignment vertical="center"/>
    </x:xf>
    <x:xf numFmtId="0" fontId="20" fillId="15" borderId="0">
      <x:alignment vertical="center"/>
    </x:xf>
    <x:xf numFmtId="0" fontId="19" fillId="16" borderId="0">
      <x:alignment vertical="center"/>
    </x:xf>
    <x:xf numFmtId="0" fontId="19" fillId="17" borderId="0">
      <x:alignment vertical="center"/>
    </x:xf>
    <x:xf numFmtId="0" fontId="20" fillId="18" borderId="0">
      <x:alignment vertical="center"/>
    </x:xf>
    <x:xf numFmtId="0" fontId="20" fillId="19" borderId="0">
      <x:alignment vertical="center"/>
    </x:xf>
    <x:xf numFmtId="0" fontId="19" fillId="20" borderId="0">
      <x:alignment vertical="center"/>
    </x:xf>
    <x:xf numFmtId="0" fontId="19" fillId="21" borderId="0">
      <x:alignment vertical="center"/>
    </x:xf>
    <x:xf numFmtId="0" fontId="20" fillId="22" borderId="0">
      <x:alignment vertical="center"/>
    </x:xf>
    <x:xf numFmtId="0" fontId="20" fillId="23" borderId="0">
      <x:alignment vertical="center"/>
    </x:xf>
    <x:xf numFmtId="0" fontId="19" fillId="24" borderId="0">
      <x:alignment vertical="center"/>
    </x:xf>
    <x:xf numFmtId="0" fontId="19" fillId="25" borderId="0">
      <x:alignment vertical="center"/>
    </x:xf>
    <x:xf numFmtId="0" fontId="20" fillId="26" borderId="0">
      <x:alignment vertical="center"/>
    </x:xf>
    <x:xf numFmtId="0" fontId="20" fillId="27" borderId="0">
      <x:alignment vertical="center"/>
    </x:xf>
    <x:xf numFmtId="0" fontId="19" fillId="28" borderId="0">
      <x:alignment vertical="center"/>
    </x:xf>
    <x:xf numFmtId="0" fontId="19" fillId="29" borderId="0">
      <x:alignment vertical="center"/>
    </x:xf>
    <x:xf numFmtId="0" fontId="20" fillId="30" borderId="0">
      <x:alignment vertical="center"/>
    </x:xf>
    <x:xf numFmtId="0" fontId="20" fillId="31" borderId="0">
      <x:alignment vertical="center"/>
    </x:xf>
    <x:xf numFmtId="0" fontId="19" fillId="32" borderId="0">
      <x:alignment vertical="center"/>
    </x:xf>
  </x:cellStyleXfs>
  <x:cellXfs count="18">
    <x:xf numFmtId="0" fontId="0" fillId="0" borderId="0" xfId="0" applyAlignment="1">
      <x:alignment vertical="center"/>
    </x:xf>
    <x:xf numFmtId="0" fontId="1" fillId="0" borderId="1" xfId="0" applyFont="1" applyBorder="1" applyAlignment="1">
      <x:alignment horizontal="center" vertical="center"/>
    </x:xf>
    <x:xf numFmtId="0" fontId="0" fillId="0" borderId="2" xfId="0" applyBorder="1" applyAlignment="1"/>
    <x:xf numFmtId="0" fontId="0" fillId="0" borderId="3" xfId="0" applyBorder="1" applyAlignment="1"/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vertical="center"/>
    </x:xf>
    <x:xf numFmtId="176" fontId="0" fillId="0" borderId="1" xfId="0" applyNumberForma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176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176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horizontal="center" vertical="center"/>
    </x:xf>
    <x:xf numFmtId="176" fontId="0" fillId="0" borderId="12" xfId="0" applyNumberFormat="1" applyFont="1" applyFill="1" applyBorder="1" applyAlignment="1">
      <x:alignment vertical="center"/>
    </x:xf>
    <x:xf numFmtId="176" fontId="0" fillId="0" borderId="12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 wrapText="0"/>
    </x:xf>
    <x:xf numFmtId="176" fontId="0" fillId="0" borderId="12" xfId="0" applyNumberFormat="1" applyFont="1" applyFill="1" applyBorder="1" applyAlignment="1">
      <x:alignment horizontal="center" vertical="center" wrapText="0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696a955a547ac" /><Relationship Type="http://schemas.openxmlformats.org/officeDocument/2006/relationships/theme" Target="/xl/theme/theme1.xml" Id="R06b70a4e63114f89" /><Relationship Type="http://schemas.openxmlformats.org/officeDocument/2006/relationships/sharedStrings" Target="/xl/sharedStrings.xml" Id="Recdddac5ade24d4b" /><Relationship Type="http://schemas.openxmlformats.org/officeDocument/2006/relationships/worksheet" Target="/xl/worksheets/sheet1.xml" Id="Re8d58db430dc4c2d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8.58333396911621" defaultRowHeight="14"/>
  <x:sheetData>
    <x:row r="1">
      <x:c r="A1" s="1" t="str">
        <x:v>3970平台 0801炮孔数据报告</x:v>
      </x:c>
      <x:c r="B1" s="2"/>
      <x:c r="C1" s="2"/>
      <x:c r="D1" s="2"/>
      <x:c r="E1" s="2"/>
      <x:c r="F1" s="3"/>
    </x:row>
    <x:row r="2">
      <x:c r="A2" s="4" t="str">
        <x:v>类型</x:v>
      </x:c>
      <x:c r="B2" s="4" t="str">
        <x:v>体号</x:v>
      </x:c>
      <x:c r="C2" s="4" t="str">
        <x:v>体积</x:v>
      </x:c>
      <x:c r="D2" s="4" t="str">
        <x:v>重量（t）</x:v>
      </x:c>
      <x:c r="E2" s="4" t="str">
        <x:v>平均品位(Au)</x:v>
      </x:c>
      <x:c r="F2" s="4" t="str">
        <x:v>金属量（百克）</x:v>
      </x:c>
    </x:row>
    <x:row r="3">
      <x:c r="A3" s="4" t="str">
        <x:v>3.000-999.000</x:v>
      </x:c>
      <x:c r="B3" s="8" t="n">
        <x:v>1</x:v>
      </x:c>
      <x:c r="C3" s="4" t="n">
        <x:v>111.976</x:v>
      </x:c>
      <x:c r="D3" s="4" t="n">
        <x:v>302.335</x:v>
      </x:c>
      <x:c r="E3" s="4" t="n">
        <x:v>8.01</x:v>
      </x:c>
      <x:c r="F3" s="4" t="n">
        <x:v>24.217</x:v>
      </x:c>
    </x:row>
    <x:row r="4">
      <x:c r="A4" s="4" t="str">
        <x:v>小计</x:v>
      </x:c>
      <x:c r="B4" s="5"/>
      <x:c r="C4" s="4" t="n">
        <x:f>SUM(C3:C3)</x:f>
        <x:v>111.976</x:v>
      </x:c>
      <x:c r="D4" s="4" t="n">
        <x:f>SUM(D3:D3)</x:f>
        <x:v>302.335</x:v>
      </x:c>
      <x:c r="E4" s="9" t="n">
        <x:f>F4/D4*100</x:f>
        <x:v>8.009988919575967</x:v>
      </x:c>
      <x:c r="F4" s="4" t="n">
        <x:f>SUM(F3:F3)</x:f>
        <x:v>24.217</x:v>
      </x:c>
    </x:row>
    <x:row r="5">
      <x:c r="A5" s="4" t="str">
        <x:v>1.500-3.000</x:v>
      </x:c>
      <x:c r="B5" s="8" t="n">
        <x:v>2</x:v>
      </x:c>
      <x:c r="C5" s="4" t="n">
        <x:v>856.879</x:v>
      </x:c>
      <x:c r="D5" s="4" t="n">
        <x:v>2313.573</x:v>
      </x:c>
      <x:c r="E5" s="4" t="n">
        <x:v>1.76</x:v>
      </x:c>
      <x:c r="F5" s="4" t="n">
        <x:v>40.728</x:v>
      </x:c>
    </x:row>
    <x:row r="6">
      <x:c r="A6" s="4" t="str">
        <x:v>小计</x:v>
      </x:c>
      <x:c r="B6" s="5"/>
      <x:c r="C6" s="4" t="n">
        <x:f>SUM(C5:C5)</x:f>
        <x:v>856.879</x:v>
      </x:c>
      <x:c r="D6" s="4" t="n">
        <x:f>SUM(D5:D5)</x:f>
        <x:v>2313.573</x:v>
      </x:c>
      <x:c r="E6" s="9" t="n">
        <x:f>F6/D6*100</x:f>
        <x:v>1.7603939880003787</x:v>
      </x:c>
      <x:c r="F6" s="4" t="n">
        <x:f>SUM(F5:F5)</x:f>
        <x:v>40.728</x:v>
      </x:c>
    </x:row>
    <x:row r="7">
      <x:c r="A7" s="4" t="str">
        <x:v>1.000-1.500</x:v>
      </x:c>
      <x:c r="B7" s="8" t="n">
        <x:v>3</x:v>
      </x:c>
      <x:c r="C7" s="4" t="n">
        <x:v>578.79</x:v>
      </x:c>
      <x:c r="D7" s="4" t="n">
        <x:v>1562.733</x:v>
      </x:c>
      <x:c r="E7" s="4" t="n">
        <x:v>1.47875548798163</x:v>
      </x:c>
      <x:c r="F7" s="4" t="n">
        <x:v>23.109</x:v>
      </x:c>
    </x:row>
    <x:row r="8">
      <x:c r="A8" s="4" t="str">
        <x:v>1.000-1.500</x:v>
      </x:c>
      <x:c r="B8" s="8" t="n">
        <x:v>4</x:v>
      </x:c>
      <x:c r="C8" s="4" t="n">
        <x:v>666.746</x:v>
      </x:c>
      <x:c r="D8" s="4" t="n">
        <x:v>1800.214</x:v>
      </x:c>
      <x:c r="E8" s="6" t="n">
        <x:v>1.485</x:v>
      </x:c>
      <x:c r="F8" s="4" t="n">
        <x:v>26.728</x:v>
      </x:c>
    </x:row>
    <x:row r="9">
      <x:c r="A9" s="4" t="str">
        <x:v>小计</x:v>
      </x:c>
      <x:c r="B9" s="4"/>
      <x:c r="C9" s="4" t="n">
        <x:f>SUM(C7:C8)</x:f>
        <x:v>1245.536</x:v>
      </x:c>
      <x:c r="D9" s="4" t="n">
        <x:f>SUM(D7:D8)</x:f>
        <x:v>3362.947</x:v>
      </x:c>
      <x:c r="E9" s="9" t="n">
        <x:f>F9/D9*100</x:f>
        <x:v>1.481944259008542</x:v>
      </x:c>
      <x:c r="F9" s="4" t="n">
        <x:f>SUM(F7:F8)</x:f>
        <x:v>49.837</x:v>
      </x:c>
    </x:row>
    <x:row r="10">
      <x:c r="A10" s="4" t="str">
        <x:v>0.500-1.000</x:v>
      </x:c>
      <x:c r="B10" s="8" t="n">
        <x:v>5</x:v>
      </x:c>
      <x:c r="C10" s="4" t="n">
        <x:v>1045.112</x:v>
      </x:c>
      <x:c r="D10" s="4" t="n">
        <x:v>2821.803</x:v>
      </x:c>
      <x:c r="E10" s="4" t="n">
        <x:v>0.841</x:v>
      </x:c>
      <x:c r="F10" s="4" t="n">
        <x:v>23.733</x:v>
      </x:c>
    </x:row>
    <x:row r="11">
      <x:c r="A11" s="4" t="str">
        <x:v>0.500-1.000</x:v>
      </x:c>
      <x:c r="B11" s="8" t="n">
        <x:v>6</x:v>
      </x:c>
      <x:c r="C11" s="4" t="n">
        <x:v>3095.708</x:v>
      </x:c>
      <x:c r="D11" s="4" t="n">
        <x:v>8358.411</x:v>
      </x:c>
      <x:c r="E11" s="6" t="n">
        <x:v>0.728</x:v>
      </x:c>
      <x:c r="F11" s="4" t="n">
        <x:v>60.833</x:v>
      </x:c>
    </x:row>
    <x:row r="12">
      <x:c r="A12" s="4" t="str">
        <x:v>0.500-1.000</x:v>
      </x:c>
      <x:c r="B12" s="8" t="n">
        <x:v>7</x:v>
      </x:c>
      <x:c r="C12" s="4" t="n">
        <x:v>276.649</x:v>
      </x:c>
      <x:c r="D12" s="4" t="n">
        <x:v>746.952</x:v>
      </x:c>
      <x:c r="E12" s="6" t="n">
        <x:v>0.72</x:v>
      </x:c>
      <x:c r="F12" s="4" t="n">
        <x:v>5.378</x:v>
      </x:c>
    </x:row>
    <x:row r="13">
      <x:c r="A13" s="16" t="str">
        <x:v>0.500-1.000</x:v>
      </x:c>
      <x:c r="B13" s="16" t="n">
        <x:v>8</x:v>
      </x:c>
      <x:c r="C13" s="16" t="n">
        <x:v>500.845</x:v>
      </x:c>
      <x:c r="D13" s="16" t="n">
        <x:v>1352.28</x:v>
      </x:c>
      <x:c r="E13" s="16" t="n">
        <x:v>0.55</x:v>
      </x:c>
      <x:c r="F13" s="16" t="n">
        <x:v>7.438</x:v>
      </x:c>
    </x:row>
    <x:row r="14">
      <x:c r="A14" s="16" t="str">
        <x:v>0.500-1.000</x:v>
      </x:c>
      <x:c r="B14" s="16" t="n">
        <x:v>9</x:v>
      </x:c>
      <x:c r="C14" s="16" t="n">
        <x:v>337.737</x:v>
      </x:c>
      <x:c r="D14" s="16" t="n">
        <x:v>911.891</x:v>
      </x:c>
      <x:c r="E14" s="16" t="n">
        <x:v>0.812</x:v>
      </x:c>
      <x:c r="F14" s="16" t="n">
        <x:v>7.401</x:v>
      </x:c>
    </x:row>
    <x:row r="15" ht="13" customHeight="1">
      <x:c r="A15" s="16" t="str">
        <x:v>小计</x:v>
      </x:c>
      <x:c r="B15" s="16"/>
      <x:c r="C15" s="16" t="n">
        <x:f>SUM(C10:C14)</x:f>
        <x:v>5256.051</x:v>
      </x:c>
      <x:c r="D15" s="16" t="n">
        <x:f>SUM(D10:D14)</x:f>
        <x:v>14191.337</x:v>
      </x:c>
      <x:c r="E15" s="17" t="n">
        <x:f>F15/D15*100</x:f>
        <x:v>0.7383589016313262</x:v>
      </x:c>
      <x:c r="F15" s="16" t="n">
        <x:f>SUM(F10:F14)</x:f>
        <x:v>104.783</x:v>
      </x:c>
    </x:row>
    <x:row r="16">
      <x:c r="A16" s="16" t="str">
        <x:v>总计</x:v>
      </x:c>
      <x:c r="B16" s="16"/>
      <x:c r="C16" s="16" t="n">
        <x:f>C4+C6+C9+C15</x:f>
        <x:v>7470.442000000001</x:v>
      </x:c>
      <x:c r="D16" s="16" t="n">
        <x:f>D4+D6+D9+D15</x:f>
        <x:v>20170.192</x:v>
      </x:c>
      <x:c r="E16" s="17" t="n">
        <x:f>F16/D16*100</x:f>
        <x:v>1.0885617747218272</x:v>
      </x:c>
      <x:c r="F16" s="16" t="n">
        <x:f>F4+F6+F9+F15</x:f>
        <x:v>219.565</x:v>
      </x:c>
    </x:row>
    <x:row r="39">
      <x:c r="A39" s="7"/>
      <x:c r="C39" s="7"/>
      <x:c r="D39" s="7"/>
      <x:c r="E39" s="7"/>
      <x:c r="F39" s="7"/>
    </x:row>
    <x:row r="42">
      <x:c r="A42" s="7"/>
      <x:c r="C42" s="7"/>
      <x:c r="D42" s="7"/>
      <x:c r="E42" s="7"/>
      <x:c r="F42" s="7"/>
    </x:row>
  </x:sheetData>
  <x:mergeCells>
    <x:mergeCell ref="A1:F1"/>
  </x:mergeCells>
  <x:pageMargins left="0.7" right="0.7" top="0.75" bottom="0.75" header="0.3" footer="0.3"/>
</x:worksheet>
</file>