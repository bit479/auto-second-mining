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7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0_ "/>
  </numFmts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/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3" borderId="7" applyAlignment="1">
      <alignment vertical="center"/>
    </xf>
    <xf numFmtId="0" fontId="11" fillId="4" borderId="8" applyAlignment="1">
      <alignment vertical="center"/>
    </xf>
    <xf numFmtId="0" fontId="12" fillId="4" borderId="7" applyAlignment="1">
      <alignment vertical="center"/>
    </xf>
    <xf numFmtId="0" fontId="13" fillId="5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2" fontId="0" fillId="0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4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tabSelected="1" workbookViewId="0">
      <selection activeCell="H14" sqref="H14"/>
    </sheetView>
  </sheetViews>
  <sheetFormatPr baseColWidth="8" defaultColWidth="18.5833333333333" defaultRowHeight="14"/>
  <sheetData>
    <row r="1">
      <c r="A1" s="1" t="inlineStr">
        <is>
          <t>3970平台 0903炮孔数据报告</t>
        </is>
      </c>
      <c r="B1" s="2" t="n"/>
      <c r="C1" s="2" t="n"/>
      <c r="D1" s="2" t="n"/>
      <c r="E1" s="2" t="n"/>
      <c r="F1" s="3" t="n"/>
    </row>
    <row r="2">
      <c r="A2" s="4" t="inlineStr">
        <is>
          <t>类型</t>
        </is>
      </c>
      <c r="B2" s="4" t="inlineStr">
        <is>
          <t>体号</t>
        </is>
      </c>
      <c r="C2" s="4" t="inlineStr">
        <is>
          <t>体积</t>
        </is>
      </c>
      <c r="D2" s="4" t="inlineStr">
        <is>
          <t>重量（t）</t>
        </is>
      </c>
      <c r="E2" s="4" t="inlineStr">
        <is>
          <t>平均品位(Au)</t>
        </is>
      </c>
      <c r="F2" s="4" t="inlineStr">
        <is>
          <t>金属量（百克）</t>
        </is>
      </c>
    </row>
    <row r="3">
      <c r="A3" s="4" t="inlineStr">
        <is>
          <t>1.500-3.000</t>
        </is>
      </c>
      <c r="B3" s="4" t="n">
        <v>1</v>
      </c>
      <c r="C3" s="4" t="n">
        <v>675.886</v>
      </c>
      <c r="D3" s="4" t="n">
        <v>1824.893</v>
      </c>
      <c r="E3" s="10" t="n">
        <v>1.939</v>
      </c>
      <c r="F3" s="4" t="n">
        <v>35.394</v>
      </c>
    </row>
    <row r="4">
      <c r="A4" s="4" t="inlineStr">
        <is>
          <t>1.500-3.000</t>
        </is>
      </c>
      <c r="B4" s="4" t="n">
        <v>2</v>
      </c>
      <c r="C4" s="4" t="n">
        <v>346.764</v>
      </c>
      <c r="D4" s="4" t="n">
        <v>936.2619999999999</v>
      </c>
      <c r="E4" s="10" t="n">
        <v>1.725</v>
      </c>
      <c r="F4" s="4" t="n">
        <v>16.149</v>
      </c>
    </row>
    <row r="5">
      <c r="A5" s="4" t="inlineStr">
        <is>
          <t>1.500-3.000</t>
        </is>
      </c>
      <c r="B5" s="4" t="n">
        <v>3</v>
      </c>
      <c r="C5" s="4" t="n">
        <v>130.51</v>
      </c>
      <c r="D5" s="4" t="n">
        <v>352.377</v>
      </c>
      <c r="E5" s="10" t="n">
        <v>2.52</v>
      </c>
      <c r="F5" s="4" t="n">
        <v>8.880000000000001</v>
      </c>
    </row>
    <row r="6">
      <c r="A6" s="4" t="inlineStr">
        <is>
          <t>1.500-3.000</t>
        </is>
      </c>
      <c r="B6" s="4" t="n">
        <v>4</v>
      </c>
      <c r="C6" s="4" t="n">
        <v>2713.289</v>
      </c>
      <c r="D6" s="4" t="n">
        <v>7325.881</v>
      </c>
      <c r="E6" s="10" t="n">
        <v>2.016</v>
      </c>
      <c r="F6" s="4" t="n">
        <v>147.681</v>
      </c>
    </row>
    <row r="7">
      <c r="A7" s="4" t="inlineStr">
        <is>
          <t>1.500-3.000</t>
        </is>
      </c>
      <c r="B7" s="4" t="n">
        <v>5</v>
      </c>
      <c r="C7" s="4" t="n">
        <v>339.831</v>
      </c>
      <c r="D7" s="4" t="n">
        <v>917.544</v>
      </c>
      <c r="E7" s="10" t="n">
        <v>2.102</v>
      </c>
      <c r="F7" s="4" t="n">
        <v>19.285</v>
      </c>
    </row>
    <row r="8">
      <c r="A8" s="4" t="inlineStr">
        <is>
          <t>小计</t>
        </is>
      </c>
      <c r="B8" s="4" t="n"/>
      <c r="C8" s="4">
        <f>SUM(C3:C7)</f>
        <v/>
      </c>
      <c r="D8" s="4">
        <f>SUM(D3:D7)</f>
        <v/>
      </c>
      <c r="E8" s="10">
        <f>F8/D8*100</f>
        <v/>
      </c>
      <c r="F8" s="4">
        <f>SUM(F3:F7)</f>
        <v/>
      </c>
    </row>
    <row r="9">
      <c r="A9" s="4" t="inlineStr">
        <is>
          <t>1.000-1.500</t>
        </is>
      </c>
      <c r="B9" s="4" t="n">
        <v>6</v>
      </c>
      <c r="C9" s="4" t="n">
        <v>7084.593</v>
      </c>
      <c r="D9" s="4" t="n">
        <v>19128.4</v>
      </c>
      <c r="E9" s="10" t="n">
        <v>1.233</v>
      </c>
      <c r="F9" s="4" t="n">
        <v>235.802</v>
      </c>
    </row>
    <row r="10">
      <c r="A10" s="4" t="inlineStr">
        <is>
          <t>1.000-1.500</t>
        </is>
      </c>
      <c r="B10" s="4" t="n">
        <v>7</v>
      </c>
      <c r="C10" s="4" t="n">
        <v>447.661</v>
      </c>
      <c r="D10" s="4" t="n">
        <v>1208.684</v>
      </c>
      <c r="E10" s="10" t="n">
        <v>1.172</v>
      </c>
      <c r="F10" s="4" t="n">
        <v>14.171</v>
      </c>
    </row>
    <row r="11">
      <c r="A11" s="4" t="inlineStr">
        <is>
          <t>1.000-1.500</t>
        </is>
      </c>
      <c r="B11" s="4" t="n">
        <v>8</v>
      </c>
      <c r="C11" s="4" t="n">
        <v>692.0890000000001</v>
      </c>
      <c r="D11" s="4" t="n">
        <v>1868.642</v>
      </c>
      <c r="E11" s="10" t="n">
        <v>1.12</v>
      </c>
      <c r="F11" s="4" t="n">
        <v>20.929</v>
      </c>
    </row>
    <row r="12">
      <c r="A12" s="4" t="inlineStr">
        <is>
          <t>1.000-1.500</t>
        </is>
      </c>
      <c r="B12" s="4" t="n">
        <v>9</v>
      </c>
      <c r="C12" s="4" t="n">
        <v>4870.294</v>
      </c>
      <c r="D12" s="4" t="n">
        <v>13149.795</v>
      </c>
      <c r="E12" s="10" t="n">
        <v>1.249</v>
      </c>
      <c r="F12" s="4" t="n">
        <v>164.262</v>
      </c>
    </row>
    <row r="13">
      <c r="A13" s="4" t="inlineStr">
        <is>
          <t>1.000-1.500</t>
        </is>
      </c>
      <c r="B13" s="4" t="n">
        <v>10</v>
      </c>
      <c r="C13" s="4" t="n">
        <v>1099.586</v>
      </c>
      <c r="D13" s="4" t="n">
        <v>2968.883</v>
      </c>
      <c r="E13" s="10" t="n">
        <v>1.162</v>
      </c>
      <c r="F13" s="4" t="n">
        <v>34.509</v>
      </c>
    </row>
    <row r="14">
      <c r="A14" s="4" t="inlineStr">
        <is>
          <t>小计</t>
        </is>
      </c>
      <c r="B14" s="4" t="n"/>
      <c r="C14" s="4">
        <f>SUM(C9:C13)</f>
        <v/>
      </c>
      <c r="D14" s="4">
        <f>SUM(D9:D13)</f>
        <v/>
      </c>
      <c r="E14" s="10">
        <f>F14/D14*100</f>
        <v/>
      </c>
      <c r="F14" s="4">
        <f>SUM(F9:F13)</f>
        <v/>
      </c>
    </row>
    <row r="15" ht="13" customHeight="1" s="9">
      <c r="A15" s="4" t="inlineStr">
        <is>
          <t>0.500-1.000</t>
        </is>
      </c>
      <c r="B15" s="4" t="n">
        <v>11</v>
      </c>
      <c r="C15" s="4" t="n">
        <v>2727.061</v>
      </c>
      <c r="D15" s="4" t="n">
        <v>7349.884</v>
      </c>
      <c r="E15" s="10" t="n">
        <v>0.699</v>
      </c>
      <c r="F15" s="4" t="n">
        <v>51.407</v>
      </c>
    </row>
    <row r="16">
      <c r="A16" s="4" t="inlineStr">
        <is>
          <t>0.500-1.000</t>
        </is>
      </c>
      <c r="B16" s="4" t="n">
        <v>12</v>
      </c>
      <c r="C16" s="4" t="n">
        <v>204.192</v>
      </c>
      <c r="D16" s="4" t="n">
        <v>551.319</v>
      </c>
      <c r="E16" s="10" t="n">
        <v>0.88</v>
      </c>
      <c r="F16" s="4" t="n">
        <v>4.852</v>
      </c>
    </row>
    <row r="17">
      <c r="A17" s="4" t="inlineStr">
        <is>
          <t>0.500-1.000</t>
        </is>
      </c>
      <c r="B17" s="4" t="n">
        <v>13</v>
      </c>
      <c r="C17" s="4" t="n">
        <v>798.707</v>
      </c>
      <c r="D17" s="4" t="n">
        <v>2156.508</v>
      </c>
      <c r="E17" s="10" t="n">
        <v>0.772</v>
      </c>
      <c r="F17" s="4" t="n">
        <v>16.638</v>
      </c>
    </row>
    <row r="18">
      <c r="A18" s="4" t="inlineStr">
        <is>
          <t>0.500-1.000</t>
        </is>
      </c>
      <c r="B18" s="4" t="n">
        <v>14</v>
      </c>
      <c r="C18" s="4" t="n">
        <v>494.888</v>
      </c>
      <c r="D18" s="4" t="n">
        <v>1336.198</v>
      </c>
      <c r="E18" s="10" t="n">
        <v>0.625</v>
      </c>
      <c r="F18" s="4" t="n">
        <v>8.355</v>
      </c>
    </row>
    <row r="19">
      <c r="A19" s="4" t="inlineStr">
        <is>
          <t>0.500-1.000</t>
        </is>
      </c>
      <c r="B19" s="4" t="n">
        <v>15</v>
      </c>
      <c r="C19" s="4" t="n">
        <v>240.246</v>
      </c>
      <c r="D19" s="4" t="n">
        <v>648.664</v>
      </c>
      <c r="E19" s="10" t="n">
        <v>0.86</v>
      </c>
      <c r="F19" s="4" t="n">
        <v>5.579</v>
      </c>
    </row>
    <row r="20">
      <c r="A20" s="4" t="inlineStr">
        <is>
          <t>0.500-1.000</t>
        </is>
      </c>
      <c r="B20" s="4" t="n">
        <v>16</v>
      </c>
      <c r="C20" s="4" t="n">
        <v>275.328</v>
      </c>
      <c r="D20" s="4" t="n">
        <v>743.385</v>
      </c>
      <c r="E20" s="10" t="n">
        <v>0.6899999999999999</v>
      </c>
      <c r="F20" s="4" t="n">
        <v>5.129</v>
      </c>
    </row>
    <row r="21">
      <c r="A21" s="4" t="inlineStr">
        <is>
          <t>0.500-1.000</t>
        </is>
      </c>
      <c r="B21" s="4" t="n">
        <v>17</v>
      </c>
      <c r="C21" s="4" t="n">
        <v>641.131</v>
      </c>
      <c r="D21" s="4" t="n">
        <v>1731.053</v>
      </c>
      <c r="E21" s="10" t="n">
        <v>0.916</v>
      </c>
      <c r="F21" s="4" t="n">
        <v>15.863</v>
      </c>
    </row>
    <row r="22">
      <c r="A22" s="4" t="inlineStr">
        <is>
          <t>0.500-1.000</t>
        </is>
      </c>
      <c r="B22" s="4" t="n">
        <v>18</v>
      </c>
      <c r="C22" s="4" t="n">
        <v>824.737</v>
      </c>
      <c r="D22" s="4" t="n">
        <v>2226.79</v>
      </c>
      <c r="E22" s="10" t="n">
        <v>0.826</v>
      </c>
      <c r="F22" s="4" t="n">
        <v>18.393</v>
      </c>
    </row>
    <row r="23">
      <c r="A23" s="4" t="inlineStr">
        <is>
          <t>小计</t>
        </is>
      </c>
      <c r="B23" s="4" t="n"/>
      <c r="C23" s="4">
        <f>SUM(C15:C22)</f>
        <v/>
      </c>
      <c r="D23" s="4">
        <f>SUM(D15:D22)</f>
        <v/>
      </c>
      <c r="E23" s="10">
        <f>F23/D23*100</f>
        <v/>
      </c>
      <c r="F23" s="4">
        <f>SUM(F15:F22)</f>
        <v/>
      </c>
    </row>
    <row r="24">
      <c r="A24" s="4" t="inlineStr">
        <is>
          <t>总计</t>
        </is>
      </c>
      <c r="B24" s="4" t="n"/>
      <c r="C24" s="4">
        <f>C8+C14+C23</f>
        <v/>
      </c>
      <c r="D24" s="4">
        <f>D8+D14+D23</f>
        <v/>
      </c>
      <c r="E24" s="10">
        <f>F24/D24*100</f>
        <v/>
      </c>
      <c r="F24" s="4">
        <f>F8+F14+F23</f>
        <v/>
      </c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2" t="n"/>
      <c r="B39" s="11" t="n"/>
      <c r="C39" s="12" t="n"/>
      <c r="D39" s="12" t="n"/>
      <c r="E39" s="12" t="n"/>
      <c r="F39" s="12" t="n"/>
    </row>
    <row r="40">
      <c r="A40" s="11" t="n"/>
      <c r="B40" s="11" t="n"/>
      <c r="C40" s="11" t="n"/>
      <c r="D40" s="11" t="n"/>
      <c r="E40" s="11" t="n"/>
      <c r="F40" s="11" t="n"/>
    </row>
    <row r="41">
      <c r="A41" s="11" t="n"/>
      <c r="B41" s="11" t="n"/>
      <c r="C41" s="11" t="n"/>
      <c r="D41" s="11" t="n"/>
      <c r="E41" s="11" t="n"/>
      <c r="F41" s="11" t="n"/>
    </row>
    <row r="42">
      <c r="A42" s="12" t="n"/>
      <c r="B42" s="11" t="n"/>
      <c r="C42" s="12" t="n"/>
      <c r="D42" s="12" t="n"/>
      <c r="E42" s="12" t="n"/>
      <c r="F42" s="12" t="n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天亮 杨</dc:creator>
  <dcterms:created xmlns:dcterms="http://purl.org/dc/terms/" xmlns:xsi="http://www.w3.org/2001/XMLSchema-instance" xsi:type="dcterms:W3CDTF">2026-07-20T03:06:00Z</dcterms:created>
  <dcterms:modified xmlns:dcterms="http://purl.org/dc/terms/" xmlns:xsi="http://www.w3.org/2001/XMLSchema-instance" xsi:type="dcterms:W3CDTF">2026-09-04T10:38:34Z</dcterms:modified>
  <cp:lastModifiedBy>杨天亮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A8FE51D5CA9A4DCA87E9ED4BB2991144_12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