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70平台2026\7、单日数据\北部山头3970平台-0918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<sst xmlns="http://schemas.openxmlformats.org/spreadsheetml/2006/main" count="12" uniqueCount="10">
  <si>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北部山头3970平台 0918炮孔数据报告</t>
  </si>
  <si>
    <t>类型</t>
  </si>
  <si>
    <t>体号</t>
  </si>
  <si>
    <t>体积</t>
  </si>
  <si>
    <t>重量（t）</t>
  </si>
  <si>
    <t>平均品位(Au)</t>
  </si>
  <si>
    <t>金属量（百克）</t>
  </si>
  <si>
    <t>1.000-1.500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</si>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</sst>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0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A1" sqref="A1:F7"/>
    </sheetView>
  </sheetViews>
  <sheetFormatPr defaultColWidth="18.5833333333333" defaultRowHeight="13.8" outlineLevelCol="5"/>
  <sheetData>
    <row r="1" customHeight="1" spans="1:6">
      <c r="A1" s="1" t="s">
        <v>0</v>
      </c>
      <c r="B1" s="2"/>
      <c r="C1" s="2"/>
      <c r="D1" s="2"/>
      <c r="E1" s="2"/>
      <c r="F1" s="2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3" t="s">
        <v>7</v>
      </c>
      <c r="B3" s="3">
        <v>1</v>
      </c>
      <c r="C3" s="3">
        <v>2757.539</v>
      </c>
      <c r="D3" s="3">
        <v>7445.356</v>
      </c>
      <c r="E3" s="4">
        <v>1.28986444704592</v>
      </c>
      <c r="F3" s="3">
        <v>96.035</v>
      </c>
    </row>
    <row r="4" spans="1:6">
      <c r="A4" s="3" t="s">
        <v>7</v>
      </c>
      <c r="B4" s="3">
        <v>2</v>
      </c>
      <c r="C4" s="3">
        <v>2898.797</v>
      </c>
      <c r="D4" s="3">
        <v>7826.753</v>
      </c>
      <c r="E4" s="4">
        <v>1.39102383836567</v>
      </c>
      <c r="F4" s="3">
        <v>108.872</v>
      </c>
    </row>
    <row r="5" spans="1:6">
      <c r="A5" s="3" t="s">
        <v>8</v>
      </c>
      <c r="B5" s="3">
        <v>3</v>
      </c>
      <c r="C5" s="3">
        <v>19709.012</v>
      </c>
      <c r="D5" s="3">
        <v>53081.519</v>
      </c>
      <c r="E5" s="4">
        <v>0.781008169717223</v>
      </c>
      <c r="F5" s="3">
        <v>414.571</v>
      </c>
    </row>
    <row r="6" spans="1:6">
      <c r="A6" s="5" t="s">
        <v>8</v>
      </c>
      <c r="B6" s="3">
        <v>4</v>
      </c>
      <c r="C6" s="5">
        <v>616.509</v>
      </c>
      <c r="D6" s="5">
        <v>1664.574</v>
      </c>
      <c r="E6" s="5">
        <v>0.802</v>
      </c>
      <c r="F6" s="5">
        <v>13.343</v>
      </c>
    </row>
    <row r="7" spans="1:6">
      <c r="A7" s="3" t="s">
        <v>9</v>
      </c>
      <c r="B7" s="3"/>
      <c r="C7" s="3">
        <f>SUM(C3:C6)</f>
        <v>25981.857</v>
      </c>
      <c r="D7" s="3">
        <f>SUM(D3:D6)</f>
        <v>70018.202</v>
      </c>
      <c r="E7" s="4">
        <f>F7/D7*100</f>
        <v>0.903794987480541</v>
      </c>
      <c r="F7" s="3">
        <f>SUM(F3:F6)</f>
        <v>632.821</v>
      </c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ht="13" customHeight="1" spans="1:6">
      <c r="A11" s="7"/>
      <c r="B11" s="7"/>
      <c r="C11" s="7"/>
      <c r="D11" s="7"/>
      <c r="E11" s="7"/>
      <c r="F11" s="7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8"/>
      <c r="B14" s="8"/>
      <c r="C14" s="8"/>
      <c r="D14" s="8"/>
      <c r="E14" s="8"/>
      <c r="F14" s="8"/>
    </row>
    <row r="15" spans="1:6">
      <c r="A15" s="8"/>
      <c r="B15" s="8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6">
      <c r="A17" s="8"/>
      <c r="B17" s="8"/>
      <c r="C17" s="8"/>
      <c r="D17" s="8"/>
      <c r="E17" s="8"/>
      <c r="F17" s="8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9"/>
      <c r="B25" s="9"/>
      <c r="C25" s="9"/>
      <c r="D25" s="9"/>
      <c r="E25" s="9"/>
      <c r="F25" s="9"/>
    </row>
    <row r="26" spans="1:6">
      <c r="A26" s="9"/>
      <c r="B26" s="9"/>
      <c r="C26" s="9"/>
      <c r="D26" s="9"/>
      <c r="E26" s="9"/>
      <c r="F26" s="9"/>
    </row>
    <row r="27" spans="1:6">
      <c r="A27" s="9"/>
      <c r="B27" s="9"/>
      <c r="C27" s="9"/>
      <c r="D27" s="9"/>
      <c r="E27" s="9"/>
      <c r="F27" s="9"/>
    </row>
    <row r="28" spans="1:6">
      <c r="A28" s="9"/>
      <c r="B28" s="9"/>
      <c r="C28" s="9"/>
      <c r="D28" s="9"/>
      <c r="E28" s="9"/>
      <c r="F28" s="9"/>
    </row>
    <row r="29" spans="1:6">
      <c r="A29" s="9"/>
      <c r="B29" s="9"/>
      <c r="C29" s="9"/>
      <c r="D29" s="9"/>
      <c r="E29" s="9"/>
      <c r="F29" s="9"/>
    </row>
    <row r="30" spans="1:6">
      <c r="A30" s="6"/>
      <c r="B30" s="9"/>
      <c r="C30" s="6"/>
      <c r="D30" s="6"/>
      <c r="E30" s="6"/>
      <c r="F30" s="6"/>
    </row>
    <row r="31" spans="1:6">
      <c r="A31" s="9"/>
      <c r="B31" s="9"/>
      <c r="C31" s="9"/>
      <c r="D31" s="9"/>
      <c r="E31" s="9"/>
      <c r="F31" s="9"/>
    </row>
    <row r="32" spans="1:6">
      <c r="A32" s="9"/>
      <c r="B32" s="9"/>
      <c r="C32" s="9"/>
      <c r="D32" s="9"/>
      <c r="E32" s="9"/>
      <c r="F32" s="9"/>
    </row>
    <row r="33" spans="1:6">
      <c r="A33" s="6"/>
      <c r="B33" s="9"/>
      <c r="C33" s="6"/>
      <c r="D33" s="6"/>
      <c r="E33" s="6"/>
      <c r="F33" s="6"/>
    </row>
  </sheetData>
  <mergeCells count="2">
    <mergeCell ref="A1:F1"/>
    <mergeCell ref="A11:F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2026-09-19T09:44:20Z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