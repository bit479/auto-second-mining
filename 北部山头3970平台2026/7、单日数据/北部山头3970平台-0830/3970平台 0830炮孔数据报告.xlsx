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830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<sst xmlns="http://schemas.openxmlformats.org/spreadsheetml/2006/main" count="16" uniqueCount="12">
  <si>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3970平台 0830炮孔数据报告</t>
  </si>
  <si>
    <t>类型</t>
  </si>
  <si>
    <t>体号</t>
  </si>
  <si>
    <t>体积</t>
  </si>
  <si>
    <t>重量（t）</t>
  </si>
  <si>
    <t>平均品位(Au)</t>
  </si>
  <si>
    <t>金属量（百克）</t>
  </si>
  <si>
    <t>3.000-999.000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</si>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</sst>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1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284.369</v>
      </c>
      <c r="D3" s="4">
        <v>767.796</v>
      </c>
      <c r="E3" s="5">
        <v>3.3</v>
      </c>
      <c r="F3" s="4">
        <v>25.337</v>
      </c>
    </row>
    <row r="4" spans="1:6">
      <c r="A4" s="4" t="s">
        <v>8</v>
      </c>
      <c r="B4" s="4"/>
      <c r="C4" s="4">
        <f>SUM(C3:C3)</f>
        <v>284.369</v>
      </c>
      <c r="D4" s="4">
        <f>SUM(D3:D3)</f>
        <v>767.796</v>
      </c>
      <c r="E4" s="5">
        <f>F4/D4*100</f>
        <v>3.299965094895</v>
      </c>
      <c r="F4" s="4">
        <f>SUM(F3:F3)</f>
        <v>25.337</v>
      </c>
    </row>
    <row r="5" spans="1:6">
      <c r="A5" s="4" t="s">
        <v>9</v>
      </c>
      <c r="B5" s="4">
        <v>2</v>
      </c>
      <c r="C5" s="4">
        <v>2656.626</v>
      </c>
      <c r="D5" s="4">
        <v>7172.89</v>
      </c>
      <c r="E5" s="5">
        <v>1.151</v>
      </c>
      <c r="F5" s="4">
        <v>82.546</v>
      </c>
    </row>
    <row r="6" spans="1:6">
      <c r="A6" s="4" t="s">
        <v>8</v>
      </c>
      <c r="B6" s="4"/>
      <c r="C6" s="4">
        <f>SUM(C5:C5)</f>
        <v>2656.626</v>
      </c>
      <c r="D6" s="4">
        <f>SUM(D5:D5)</f>
        <v>7172.89</v>
      </c>
      <c r="E6" s="5">
        <f>F6/D6*100</f>
        <v>1.15080532393498</v>
      </c>
      <c r="F6" s="4">
        <f>SUM(F5:F5)</f>
        <v>82.546</v>
      </c>
    </row>
    <row r="7" spans="1:6">
      <c r="A7" s="4" t="s">
        <v>10</v>
      </c>
      <c r="B7" s="4">
        <v>3</v>
      </c>
      <c r="C7" s="4">
        <v>297.998</v>
      </c>
      <c r="D7" s="4">
        <v>804.595</v>
      </c>
      <c r="E7" s="5">
        <v>0.87</v>
      </c>
      <c r="F7" s="4">
        <v>7</v>
      </c>
    </row>
    <row r="8" spans="1:6">
      <c r="A8" s="4" t="s">
        <v>10</v>
      </c>
      <c r="B8" s="4">
        <v>4</v>
      </c>
      <c r="C8" s="4">
        <v>4950.725</v>
      </c>
      <c r="D8" s="4">
        <v>13366.957</v>
      </c>
      <c r="E8" s="5">
        <v>0.749</v>
      </c>
      <c r="F8" s="4">
        <v>100.099</v>
      </c>
    </row>
    <row r="9" spans="1:6">
      <c r="A9" s="4" t="s">
        <v>10</v>
      </c>
      <c r="B9" s="4">
        <v>5</v>
      </c>
      <c r="C9" s="4">
        <v>156.121</v>
      </c>
      <c r="D9" s="4">
        <v>421.527</v>
      </c>
      <c r="E9" s="5">
        <v>0.97</v>
      </c>
      <c r="F9" s="4">
        <v>4.089</v>
      </c>
    </row>
    <row r="10" spans="1:6">
      <c r="A10" s="4" t="s">
        <v>8</v>
      </c>
      <c r="B10" s="4"/>
      <c r="C10" s="4">
        <f>SUM(C7:C9)</f>
        <v>5404.844</v>
      </c>
      <c r="D10" s="4">
        <f>SUM(D7:D9)</f>
        <v>14593.079</v>
      </c>
      <c r="E10" s="5">
        <f>F10/D10*100</f>
        <v>0.761922826567306</v>
      </c>
      <c r="F10" s="4">
        <f>SUM(F7:F9)</f>
        <v>111.188</v>
      </c>
    </row>
    <row r="11" spans="1:6">
      <c r="A11" s="4" t="s">
        <v>11</v>
      </c>
      <c r="B11" s="4"/>
      <c r="C11" s="4">
        <f>C4+C6+C10</f>
        <v>8345.839</v>
      </c>
      <c r="D11" s="4">
        <f>D4+D6+D10</f>
        <v>22533.765</v>
      </c>
      <c r="E11" s="5">
        <f>F11/D11*100</f>
        <v>0.972189955828509</v>
      </c>
      <c r="F11" s="4">
        <f>F4+F6+F10</f>
        <v>219.071</v>
      </c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2026-09-02T05:01:23Z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