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82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<sst xmlns="http://schemas.openxmlformats.org/spreadsheetml/2006/main" count="14" uniqueCount="11">
  <si>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3970平台 0822炮孔数据报告</t>
  </si>
  <si>
    <t>类型</t>
  </si>
  <si>
    <t>体号</t>
  </si>
  <si>
    <t>体积</t>
  </si>
  <si>
    <t>重量（t）</t>
  </si>
  <si>
    <t>平均品位(Au)</t>
  </si>
  <si>
    <t>金属量（百克）</t>
  </si>
  <si>
    <t>1.000-1.500</t>
  </si>
  <si>
    <t>小计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</si>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</sst>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9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922.545</v>
      </c>
      <c r="D3" s="4">
        <v>2490.872</v>
      </c>
      <c r="E3" s="5">
        <v>1.147</v>
      </c>
      <c r="F3" s="4">
        <v>28.573</v>
      </c>
    </row>
    <row r="4" spans="1:6">
      <c r="A4" s="4" t="s">
        <v>7</v>
      </c>
      <c r="B4" s="4">
        <v>2</v>
      </c>
      <c r="C4" s="4">
        <v>203.074</v>
      </c>
      <c r="D4" s="4">
        <v>548.299</v>
      </c>
      <c r="E4" s="5">
        <v>1.17</v>
      </c>
      <c r="F4" s="4">
        <v>6.415</v>
      </c>
    </row>
    <row r="5" spans="1:6">
      <c r="A5" s="4" t="s">
        <v>8</v>
      </c>
      <c r="B5" s="4"/>
      <c r="C5" s="4">
        <f>SUM(C3:C4)</f>
        <v>1125.619</v>
      </c>
      <c r="D5" s="4">
        <f>SUM(D3:D4)</f>
        <v>3039.171</v>
      </c>
      <c r="E5" s="5">
        <f>F5/D5*100</f>
        <v>1.15123499138416</v>
      </c>
      <c r="F5" s="4">
        <f>SUM(F3:F4)</f>
        <v>34.988</v>
      </c>
    </row>
    <row r="6" spans="1:6">
      <c r="A6" s="4" t="s">
        <v>9</v>
      </c>
      <c r="B6" s="4">
        <v>3</v>
      </c>
      <c r="C6" s="4">
        <v>2243.35</v>
      </c>
      <c r="D6" s="4">
        <v>6057.044</v>
      </c>
      <c r="E6" s="5">
        <v>0.675</v>
      </c>
      <c r="F6" s="4">
        <v>40.913</v>
      </c>
    </row>
    <row r="7" spans="1:6">
      <c r="A7" s="4" t="s">
        <v>9</v>
      </c>
      <c r="B7" s="4">
        <v>4</v>
      </c>
      <c r="C7" s="4">
        <v>3241.349</v>
      </c>
      <c r="D7" s="4">
        <v>8751.641</v>
      </c>
      <c r="E7" s="5">
        <v>0.762</v>
      </c>
      <c r="F7" s="4">
        <v>66.715</v>
      </c>
    </row>
    <row r="8" spans="1:6">
      <c r="A8" s="4" t="s">
        <v>8</v>
      </c>
      <c r="B8" s="4"/>
      <c r="C8" s="4">
        <f>SUM(C6:C7)</f>
        <v>5484.699</v>
      </c>
      <c r="D8" s="4">
        <f>SUM(D6:D7)</f>
        <v>14808.685</v>
      </c>
      <c r="E8" s="5">
        <f>F8/D8*100</f>
        <v>0.726789718330831</v>
      </c>
      <c r="F8" s="4">
        <f>SUM(F6:F7)</f>
        <v>107.628</v>
      </c>
    </row>
    <row r="9" spans="1:6">
      <c r="A9" s="4" t="s">
        <v>10</v>
      </c>
      <c r="B9" s="4"/>
      <c r="C9" s="4">
        <f>C5+C8</f>
        <v>6610.318</v>
      </c>
      <c r="D9" s="4">
        <f>D5+D8</f>
        <v>17847.856</v>
      </c>
      <c r="E9" s="5">
        <f>F9/D9*100</f>
        <v>0.799065165025984</v>
      </c>
      <c r="F9" s="4">
        <f>F5+F8</f>
        <v>142.616</v>
      </c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2026-08-23T05:28:08Z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