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gt\Desktop\圈矿\上库圈矿\北部山头2026\北部山头3970平台2026\北部山头3970平台-0810\"/>
    </mc:Choice>
  </mc:AlternateContent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<sst xmlns="http://schemas.openxmlformats.org/spreadsheetml/2006/main" count="17" uniqueCount="12">
  <si>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3970平台 0810炮孔数据报告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</si>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</sst>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G8" sqref="G8"/>
    </sheetView>
  </sheetViews>
  <sheetFormatPr defaultColWidth="18.5833333333333" defaultRowHeight="14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133.025</v>
      </c>
      <c r="D3" s="4">
        <v>359.167</v>
      </c>
      <c r="E3" s="5">
        <v>1.52</v>
      </c>
      <c r="F3" s="4">
        <v>5.459</v>
      </c>
    </row>
    <row r="4" spans="1:6">
      <c r="A4" s="4" t="s">
        <v>7</v>
      </c>
      <c r="B4" s="4">
        <v>2</v>
      </c>
      <c r="C4" s="4">
        <v>314.006</v>
      </c>
      <c r="D4" s="4">
        <v>847.816</v>
      </c>
      <c r="E4" s="5">
        <v>2.385</v>
      </c>
      <c r="F4" s="4">
        <v>20.216</v>
      </c>
    </row>
    <row r="5" spans="1:6">
      <c r="A5" s="4" t="s">
        <v>8</v>
      </c>
      <c r="B5" s="4"/>
      <c r="C5" s="4">
        <f>SUM(C3:C4)</f>
        <v>447.031</v>
      </c>
      <c r="D5" s="4">
        <f>SUM(D3:D4)</f>
        <v>1206.983</v>
      </c>
      <c r="E5" s="5">
        <f>F5/D5*100</f>
        <v>2.12720477421803</v>
      </c>
      <c r="F5" s="4">
        <f>SUM(F3:F4)</f>
        <v>25.675</v>
      </c>
    </row>
    <row r="6" spans="1:6">
      <c r="A6" s="4" t="s">
        <v>9</v>
      </c>
      <c r="B6" s="4">
        <v>3</v>
      </c>
      <c r="C6" s="4">
        <v>309.782</v>
      </c>
      <c r="D6" s="4">
        <v>836.412</v>
      </c>
      <c r="E6" s="5">
        <v>1.147</v>
      </c>
      <c r="F6" s="4">
        <v>9.593</v>
      </c>
    </row>
    <row r="7" spans="1:6">
      <c r="A7" s="4" t="s">
        <v>8</v>
      </c>
      <c r="B7" s="4"/>
      <c r="C7" s="4">
        <f>SUM(C6:C6)</f>
        <v>309.782</v>
      </c>
      <c r="D7" s="4">
        <f>SUM(D6:D6)</f>
        <v>836.412</v>
      </c>
      <c r="E7" s="5">
        <f>F7/D7*100</f>
        <v>1.14692280837673</v>
      </c>
      <c r="F7" s="4">
        <f>SUM(F6:F6)</f>
        <v>9.593</v>
      </c>
    </row>
    <row r="8" spans="1:6">
      <c r="A8" s="4" t="s">
        <v>10</v>
      </c>
      <c r="B8" s="4">
        <v>4</v>
      </c>
      <c r="C8" s="4">
        <v>239.941</v>
      </c>
      <c r="D8" s="4">
        <v>647.841</v>
      </c>
      <c r="E8" s="5">
        <v>0.775</v>
      </c>
      <c r="F8" s="4">
        <v>5.021</v>
      </c>
    </row>
    <row r="9" spans="1:6">
      <c r="A9" s="4" t="s">
        <v>10</v>
      </c>
      <c r="B9" s="4">
        <v>5</v>
      </c>
      <c r="C9" s="4">
        <v>765.017</v>
      </c>
      <c r="D9" s="4">
        <v>2065.546</v>
      </c>
      <c r="E9" s="5">
        <v>0.835</v>
      </c>
      <c r="F9" s="4">
        <v>17.246</v>
      </c>
    </row>
    <row r="10" spans="1:6">
      <c r="A10" s="4" t="s">
        <v>10</v>
      </c>
      <c r="B10" s="4">
        <v>6</v>
      </c>
      <c r="C10" s="4">
        <v>3437.234</v>
      </c>
      <c r="D10" s="4">
        <v>9280.531</v>
      </c>
      <c r="E10" s="5">
        <v>0.696</v>
      </c>
      <c r="F10" s="4">
        <v>64.611</v>
      </c>
    </row>
    <row r="11" spans="1:6">
      <c r="A11" s="4" t="s">
        <v>8</v>
      </c>
      <c r="B11" s="4"/>
      <c r="C11" s="4">
        <f>SUM(C8:C10)</f>
        <v>4442.192</v>
      </c>
      <c r="D11" s="4">
        <f>SUM(D8:D10)</f>
        <v>11993.918</v>
      </c>
      <c r="E11" s="5">
        <f>F11/D11*100</f>
        <v>0.72435045829061</v>
      </c>
      <c r="F11" s="4">
        <f>SUM(F8:F10)</f>
        <v>86.878</v>
      </c>
    </row>
    <row r="12" spans="1:6">
      <c r="A12" s="4" t="s">
        <v>11</v>
      </c>
      <c r="B12" s="4"/>
      <c r="C12" s="4">
        <f>C5+C7+C11</f>
        <v>5199.005</v>
      </c>
      <c r="D12" s="4">
        <f>D5+D7+D11</f>
        <v>14037.313</v>
      </c>
      <c r="E12" s="5">
        <f>F12/D12*100</f>
        <v>0.870152286267322</v>
      </c>
      <c r="F12" s="4">
        <f>F5+F7+F11</f>
        <v>122.146</v>
      </c>
    </row>
    <row r="30" spans="1:6">
      <c r="A30" s="6"/>
      <c r="C30" s="6"/>
      <c r="D30" s="6"/>
      <c r="E30" s="6"/>
      <c r="F30" s="6"/>
    </row>
    <row r="33" spans="1:6">
      <c r="A33" s="6"/>
      <c r="C33" s="6"/>
      <c r="D33" s="6"/>
      <c r="E33" s="6"/>
      <c r="F33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杨天亮</cp:lastModifiedBy>
  <dcterms:created xsi:type="dcterms:W3CDTF">2026-07-20T03:06:00Z</dcterms:created>
  <dcterms:modified xsi:type="dcterms:W3CDTF">2026-08-10T11:20:38Z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