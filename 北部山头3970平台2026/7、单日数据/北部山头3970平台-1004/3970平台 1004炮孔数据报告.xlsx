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70平台2026\7、单日数据\北部山头3970平台-1004\"/>
    </mc:Choice>
  </mc:AlternateContent>
  <xr:revisionPtr revIDLastSave="0" documentId="13_ncr:1_{737D5D09-C047-4DCA-959A-C07461D761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E5" i="1"/>
  <c r="E9" i="1"/>
  <c r="E13" i="1"/>
  <c r="C12" i="1"/>
  <c r="C9" i="1"/>
  <c r="C5" i="1"/>
  <c r="D5" i="1"/>
  <c r="F5" i="1"/>
  <c r="D9" i="1"/>
  <c r="F9" i="1"/>
  <c r="D12" i="1"/>
  <c r="F12" i="1"/>
  <c r="E12" i="1" s="1"/>
  <c r="D13" i="1" l="1"/>
  <c r="F13" i="1"/>
</calcChain>
</file>

<file path=xl/sharedStrings.xml><?xml version="1.0" encoding="utf-8"?>
<sst xmlns="http://schemas.openxmlformats.org/spreadsheetml/2006/main" count="18" uniqueCount="12">
  <si>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</si>
  <si>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</si>
  <si>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</si>
  <si>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</si>
  <si>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</si>
  <si>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</si>
  <si>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</si>
  <si>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北部山头3970平台 1004炮孔数据报告</t>
    <phoneticPr fontId="5" type="noConversion"/>
  </si>
  <si>
    <t>1.000-1.500</t>
  </si>
  <si>
    <t>1.500-3.000</t>
  </si>
  <si>
    <t>小计</t>
    <phoneticPr fontId="5" type="noConversion"/>
  </si>
  <si>
    <t>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</si>
</sst>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0" fontId="1" fillId="0" borderId="0" xfId="2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78764F95-5E3E-4A09-BBBA-410A80E15240}"/>
    <cellStyle name="常规 3" xfId="2" xr:uid="{641B604C-F168-4D99-9975-2E2C85743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0" workbookViewId="0">
      <selection activeCell="D17" sqref="D17"/>
    </sheetView>
  </sheetViews>
  <sheetFormatPr defaultColWidth="18.5546875" defaultRowHeight="13.8" x14ac:dyDescent="0.25"/>
  <cols>
    <col min="1" max="4" width="18.5546875" style="3"/>
    <col min="5" max="5" width="18.5546875" style="4"/>
    <col min="6" max="16384" width="18.5546875" style="3"/>
  </cols>
  <sheetData>
    <row r="1" spans="1:6" ht="13.8" customHeight="1" x14ac:dyDescent="0.25">
      <c r="A1" s="5" t="s">
        <v>7</v>
      </c>
      <c r="B1" s="6"/>
      <c r="C1" s="6"/>
      <c r="D1" s="6"/>
      <c r="E1" s="7"/>
      <c r="F1" s="6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</row>
    <row r="3" spans="1:6" x14ac:dyDescent="0.25">
      <c r="A3" s="10" t="s">
        <v>9</v>
      </c>
      <c r="B3" s="10">
        <v>7</v>
      </c>
      <c r="C3" s="10">
        <v>1479.5590000000002</v>
      </c>
      <c r="D3" s="10">
        <v>3994.8100000000004</v>
      </c>
      <c r="E3" s="10">
        <v>2.1628312735774662</v>
      </c>
      <c r="F3" s="10">
        <v>86.400999999999996</v>
      </c>
    </row>
    <row r="4" spans="1:6" x14ac:dyDescent="0.25">
      <c r="A4" s="10" t="s">
        <v>9</v>
      </c>
      <c r="B4" s="10">
        <v>5</v>
      </c>
      <c r="C4" s="10">
        <v>2418.3989999999999</v>
      </c>
      <c r="D4" s="10">
        <v>6529.6779999999999</v>
      </c>
      <c r="E4" s="10">
        <v>2.0550000000000002</v>
      </c>
      <c r="F4" s="10">
        <v>134.209</v>
      </c>
    </row>
    <row r="5" spans="1:6" x14ac:dyDescent="0.25">
      <c r="A5" s="10" t="s">
        <v>10</v>
      </c>
      <c r="B5" s="10"/>
      <c r="C5" s="10">
        <f>C3+C4</f>
        <v>3897.9580000000001</v>
      </c>
      <c r="D5" s="10">
        <f t="shared" ref="D5:F5" si="0">D3+D4</f>
        <v>10524.488000000001</v>
      </c>
      <c r="E5" s="10">
        <f>F5/D5*100</f>
        <v>2.0961589770447739</v>
      </c>
      <c r="F5" s="10">
        <f t="shared" si="0"/>
        <v>220.61</v>
      </c>
    </row>
    <row r="6" spans="1:6" x14ac:dyDescent="0.25">
      <c r="A6" s="10" t="s">
        <v>8</v>
      </c>
      <c r="B6" s="10">
        <v>2</v>
      </c>
      <c r="C6" s="10">
        <v>4589.4660000000003</v>
      </c>
      <c r="D6" s="10">
        <v>12376.944</v>
      </c>
      <c r="E6" s="10">
        <v>1.2021303481699523</v>
      </c>
      <c r="F6" s="10">
        <v>148.78700000000001</v>
      </c>
    </row>
    <row r="7" spans="1:6" x14ac:dyDescent="0.25">
      <c r="A7" s="10" t="s">
        <v>8</v>
      </c>
      <c r="B7" s="10">
        <v>4</v>
      </c>
      <c r="C7" s="10">
        <v>2478.154</v>
      </c>
      <c r="D7" s="10">
        <v>6691.0169999999998</v>
      </c>
      <c r="E7" s="10">
        <v>1.0498702962494342</v>
      </c>
      <c r="F7" s="10">
        <v>70.247</v>
      </c>
    </row>
    <row r="8" spans="1:6" ht="13.05" customHeight="1" x14ac:dyDescent="0.25">
      <c r="A8" s="10" t="s">
        <v>8</v>
      </c>
      <c r="B8" s="10">
        <v>6</v>
      </c>
      <c r="C8" s="10">
        <v>2316.415</v>
      </c>
      <c r="D8" s="10">
        <v>6254.3210000000008</v>
      </c>
      <c r="E8" s="10">
        <v>1.2371127097569821</v>
      </c>
      <c r="F8" s="10">
        <v>77.37299999999999</v>
      </c>
    </row>
    <row r="9" spans="1:6" ht="13.05" customHeight="1" x14ac:dyDescent="0.25">
      <c r="A9" s="10" t="s">
        <v>10</v>
      </c>
      <c r="B9" s="10"/>
      <c r="C9" s="10">
        <f>C6+C7+C8</f>
        <v>9384.0349999999999</v>
      </c>
      <c r="D9" s="10">
        <f t="shared" ref="D9:F9" si="1">D6+D7+D8</f>
        <v>25322.281999999999</v>
      </c>
      <c r="E9" s="10">
        <f>F9/D9*100</f>
        <v>1.1705382634945776</v>
      </c>
      <c r="F9" s="10">
        <f t="shared" si="1"/>
        <v>296.40699999999998</v>
      </c>
    </row>
    <row r="10" spans="1:6" x14ac:dyDescent="0.25">
      <c r="A10" s="10" t="s">
        <v>6</v>
      </c>
      <c r="B10" s="15">
        <v>1</v>
      </c>
      <c r="C10" s="15">
        <v>5363.9349999999995</v>
      </c>
      <c r="D10" s="15">
        <v>14361.710999999999</v>
      </c>
      <c r="E10" s="15">
        <v>0.54717714344760182</v>
      </c>
      <c r="F10" s="15">
        <v>78.584000000000003</v>
      </c>
    </row>
    <row r="11" spans="1:6" x14ac:dyDescent="0.25">
      <c r="A11" s="10" t="s">
        <v>6</v>
      </c>
      <c r="B11" s="10">
        <v>3</v>
      </c>
      <c r="C11" s="10">
        <v>11416.870999999999</v>
      </c>
      <c r="D11" s="10">
        <v>30672.312999999998</v>
      </c>
      <c r="E11" s="10">
        <v>0.60669699086599693</v>
      </c>
      <c r="F11" s="10">
        <v>186.08799999999999</v>
      </c>
    </row>
    <row r="12" spans="1:6" x14ac:dyDescent="0.25">
      <c r="A12" s="10" t="s">
        <v>10</v>
      </c>
      <c r="B12" s="10"/>
      <c r="C12" s="10">
        <f>C10+C11</f>
        <v>16780.805999999997</v>
      </c>
      <c r="D12" s="10">
        <f t="shared" ref="D12:F12" si="2">D10+D11</f>
        <v>45034.023999999998</v>
      </c>
      <c r="E12" s="10">
        <f>F12/D12*100</f>
        <v>0.58771563473874788</v>
      </c>
      <c r="F12" s="10">
        <f t="shared" si="2"/>
        <v>264.67200000000003</v>
      </c>
    </row>
    <row r="13" spans="1:6" x14ac:dyDescent="0.25">
      <c r="A13" s="10" t="s">
        <v>11</v>
      </c>
      <c r="B13" s="10"/>
      <c r="C13" s="10">
        <f>C12+C9+C5</f>
        <v>30062.798999999995</v>
      </c>
      <c r="D13" s="10">
        <f>D12+D9+D5</f>
        <v>80880.793999999994</v>
      </c>
      <c r="E13" s="10">
        <f>F13/D13*100</f>
        <v>0.96647048247325562</v>
      </c>
      <c r="F13" s="10">
        <f>F12+F9+F5</f>
        <v>781.68899999999996</v>
      </c>
    </row>
    <row r="14" spans="1:6" x14ac:dyDescent="0.25">
      <c r="A14" s="12"/>
      <c r="B14" s="11"/>
      <c r="C14" s="12"/>
      <c r="D14" s="12"/>
      <c r="E14" s="11"/>
      <c r="F14" s="12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3"/>
      <c r="C16" s="14"/>
      <c r="D16" s="14"/>
      <c r="E16" s="13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3"/>
      <c r="C18" s="14"/>
      <c r="D18" s="14"/>
      <c r="E18" s="13"/>
      <c r="F18" s="14"/>
    </row>
    <row r="19" spans="1:6" x14ac:dyDescent="0.25">
      <c r="A19" s="12"/>
      <c r="B19" s="12"/>
      <c r="E19" s="3"/>
    </row>
    <row r="20" spans="1:6" x14ac:dyDescent="0.25">
      <c r="A20" s="12"/>
      <c r="B20" s="11"/>
      <c r="C20" s="12"/>
      <c r="D20" s="12"/>
      <c r="E20" s="11"/>
      <c r="F20" s="12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8"/>
      <c r="B22" s="8"/>
      <c r="C22" s="8"/>
      <c r="D22" s="8"/>
      <c r="E22" s="9"/>
      <c r="F22" s="8"/>
    </row>
    <row r="23" spans="1:6" x14ac:dyDescent="0.25">
      <c r="B23" s="8"/>
    </row>
    <row r="24" spans="1:6" x14ac:dyDescent="0.25">
      <c r="A24" s="8"/>
      <c r="B24" s="8"/>
      <c r="C24" s="8"/>
      <c r="D24" s="8"/>
      <c r="E24" s="9"/>
      <c r="F24" s="8"/>
    </row>
    <row r="25" spans="1:6" x14ac:dyDescent="0.25">
      <c r="A25" s="8"/>
      <c r="B25" s="8"/>
      <c r="C25" s="8"/>
      <c r="D25" s="8"/>
      <c r="E25" s="9"/>
      <c r="F25" s="8"/>
    </row>
    <row r="26" spans="1:6" x14ac:dyDescent="0.25">
      <c r="B26" s="8"/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2026-10-07T04:50:00Z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