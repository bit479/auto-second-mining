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70平台2026\7、单日数据\北部山头3970平台-0914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<sst xmlns="http://schemas.openxmlformats.org/spreadsheetml/2006/main" count="16" uniqueCount="12">
  <si>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3970平台 0914炮孔数据报告</t>
  </si>
  <si>
    <t>类型</t>
  </si>
  <si>
    <t>体号</t>
  </si>
  <si>
    <t>体积</t>
  </si>
  <si>
    <t>重量（t）</t>
  </si>
  <si>
    <t>平均品位(Au)</t>
  </si>
  <si>
    <t>金属量（百克）</t>
  </si>
  <si>
    <t>1.500-3.000</t>
  </si>
  <si>
    <t>小计</t>
  </si>
  <si>
    <t>1.000-1.500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</si>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</sst>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A1" sqref="A1:F11"/>
    </sheetView>
  </sheetViews>
  <sheetFormatPr defaultColWidth="18.5833333333333" defaultRowHeight="13.8" outlineLevelCol="5"/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460.379</v>
      </c>
      <c r="D3" s="4">
        <v>1243.022</v>
      </c>
      <c r="E3" s="5">
        <v>1.716</v>
      </c>
      <c r="F3" s="4">
        <v>21.33</v>
      </c>
    </row>
    <row r="4" spans="1:6">
      <c r="A4" s="4" t="s">
        <v>7</v>
      </c>
      <c r="B4" s="4">
        <v>2</v>
      </c>
      <c r="C4" s="4">
        <v>562.611</v>
      </c>
      <c r="D4" s="4">
        <v>1519.05</v>
      </c>
      <c r="E4" s="5">
        <v>1.874</v>
      </c>
      <c r="F4" s="4">
        <v>28.468</v>
      </c>
    </row>
    <row r="5" spans="1:6">
      <c r="A5" s="4" t="s">
        <v>8</v>
      </c>
      <c r="B5" s="4"/>
      <c r="C5" s="4">
        <f>SUM(C3:C4)</f>
        <v>1022.99</v>
      </c>
      <c r="D5" s="4">
        <f>SUM(D3:D4)</f>
        <v>2762.072</v>
      </c>
      <c r="E5" s="5">
        <f>F5/D5*100</f>
        <v>1.80292186445538</v>
      </c>
      <c r="F5" s="4">
        <f>SUM(F3:F4)</f>
        <v>49.798</v>
      </c>
    </row>
    <row r="6" spans="1:6">
      <c r="A6" s="4" t="s">
        <v>9</v>
      </c>
      <c r="B6" s="4">
        <v>3</v>
      </c>
      <c r="C6" s="4">
        <v>2767.843</v>
      </c>
      <c r="D6" s="4">
        <v>7473.176</v>
      </c>
      <c r="E6" s="5">
        <v>1.193</v>
      </c>
      <c r="F6" s="4">
        <v>89.126</v>
      </c>
    </row>
    <row r="7" spans="1:6">
      <c r="A7" s="4" t="s">
        <v>8</v>
      </c>
      <c r="B7" s="4"/>
      <c r="C7" s="4">
        <f>SUM(C6:C6)</f>
        <v>2767.843</v>
      </c>
      <c r="D7" s="4">
        <f>SUM(D6:D6)</f>
        <v>7473.176</v>
      </c>
      <c r="E7" s="5">
        <f>F7/D7*100</f>
        <v>1.19261208353717</v>
      </c>
      <c r="F7" s="4">
        <f>SUM(F6:F6)</f>
        <v>89.126</v>
      </c>
    </row>
    <row r="8" spans="1:6">
      <c r="A8" s="4" t="s">
        <v>10</v>
      </c>
      <c r="B8" s="4">
        <v>4</v>
      </c>
      <c r="C8" s="4">
        <v>3204.912</v>
      </c>
      <c r="D8" s="4">
        <v>8653.262</v>
      </c>
      <c r="E8" s="5">
        <v>0.801</v>
      </c>
      <c r="F8" s="4">
        <v>69.302</v>
      </c>
    </row>
    <row r="9" spans="1:6">
      <c r="A9" s="4" t="s">
        <v>10</v>
      </c>
      <c r="B9" s="4">
        <v>5</v>
      </c>
      <c r="C9" s="4">
        <v>315.951</v>
      </c>
      <c r="D9" s="4">
        <v>853.068</v>
      </c>
      <c r="E9" s="5">
        <v>0.98</v>
      </c>
      <c r="F9" s="4">
        <v>8.36</v>
      </c>
    </row>
    <row r="10" spans="1:6">
      <c r="A10" s="4" t="s">
        <v>8</v>
      </c>
      <c r="B10" s="4"/>
      <c r="C10" s="4">
        <f>SUM(C8:C9)</f>
        <v>3520.863</v>
      </c>
      <c r="D10" s="4">
        <f>SUM(D8:D9)</f>
        <v>9506.33</v>
      </c>
      <c r="E10" s="5">
        <f>F10/D10*100</f>
        <v>0.8169503898981</v>
      </c>
      <c r="F10" s="4">
        <f>SUM(F8:F9)</f>
        <v>77.662</v>
      </c>
    </row>
    <row r="11" spans="1:6">
      <c r="A11" s="4" t="s">
        <v>11</v>
      </c>
      <c r="B11" s="4"/>
      <c r="C11" s="4">
        <f>C5+C7+C10</f>
        <v>7311.696</v>
      </c>
      <c r="D11" s="4">
        <f>D5+D7+D10</f>
        <v>19741.578</v>
      </c>
      <c r="E11" s="5">
        <f>F11/D11*100</f>
        <v>1.0971058139324</v>
      </c>
      <c r="F11" s="4">
        <f>F5+F7+F10</f>
        <v>216.586</v>
      </c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ht="13" customHeight="1" spans="1:6">
      <c r="A15" s="6"/>
      <c r="B15" s="6"/>
      <c r="C15" s="6"/>
      <c r="D15" s="6"/>
      <c r="E15" s="6"/>
      <c r="F15" s="6"/>
    </row>
    <row r="16" spans="1:6">
      <c r="A16" s="6"/>
      <c r="C16" s="6"/>
      <c r="D16" s="6"/>
      <c r="E16" s="7"/>
      <c r="F16" s="6"/>
    </row>
    <row r="17" spans="1:6">
      <c r="A17" s="6"/>
      <c r="C17" s="6"/>
      <c r="D17" s="6"/>
      <c r="E17" s="7"/>
      <c r="F17" s="6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6"/>
      <c r="B39" s="8"/>
      <c r="C39" s="6"/>
      <c r="D39" s="6"/>
      <c r="E39" s="6"/>
      <c r="F39" s="6"/>
    </row>
    <row r="40" spans="1:6">
      <c r="A40" s="8"/>
      <c r="B40" s="8"/>
      <c r="C40" s="8"/>
      <c r="D40" s="8"/>
      <c r="E40" s="8"/>
      <c r="F40" s="8"/>
    </row>
    <row r="41" spans="1:6">
      <c r="A41" s="8"/>
      <c r="B41" s="8"/>
      <c r="C41" s="8"/>
      <c r="D41" s="8"/>
      <c r="E41" s="8"/>
      <c r="F41" s="8"/>
    </row>
    <row r="42" spans="1:6">
      <c r="A42" s="6"/>
      <c r="B42" s="8"/>
      <c r="C42" s="6"/>
      <c r="D42" s="6"/>
      <c r="E42" s="6"/>
      <c r="F42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2026-09-16T03:05:25Z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