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_);[Red]\(0.00\)"/>
  </numFmts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family val="3"/>
      <b val="1"/>
      <color theme="1"/>
      <sz val="10"/>
      <scheme val="minor"/>
    </font>
    <font>
      <name val="等线"/>
      <charset val="134"/>
      <family val="3"/>
      <color rgb="FF000000"/>
      <sz val="11"/>
    </font>
    <font>
      <name val="等线"/>
      <charset val="134"/>
      <family val="2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164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5" fontId="23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165" fontId="2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tabSelected="1" workbookViewId="0">
      <selection activeCell="G9" sqref="G9"/>
    </sheetView>
  </sheetViews>
  <sheetFormatPr baseColWidth="8" defaultColWidth="18.5833333333333" defaultRowHeight="13.8"/>
  <cols>
    <col width="21" customWidth="1" style="17" min="1" max="1"/>
  </cols>
  <sheetData>
    <row r="1">
      <c r="A1" s="1" t="inlineStr">
        <is>
          <t>3940平台 0915炮孔数据报告</t>
        </is>
      </c>
      <c r="B1" s="18" t="n"/>
      <c r="C1" s="18" t="n"/>
      <c r="D1" s="18" t="n"/>
      <c r="E1" s="18" t="n"/>
      <c r="F1" s="19" t="n"/>
    </row>
    <row r="2">
      <c r="A2" s="4" t="inlineStr">
        <is>
          <t>类型</t>
        </is>
      </c>
      <c r="B2" s="4" t="inlineStr">
        <is>
          <t>体号</t>
        </is>
      </c>
      <c r="C2" s="4" t="inlineStr">
        <is>
          <t>体积</t>
        </is>
      </c>
      <c r="D2" s="4" t="inlineStr">
        <is>
          <t>重量（t）</t>
        </is>
      </c>
      <c r="E2" s="20" t="inlineStr">
        <is>
          <t>平均品位(Au)</t>
        </is>
      </c>
      <c r="F2" s="4" t="inlineStr">
        <is>
          <t>金属量（百克）</t>
        </is>
      </c>
    </row>
    <row r="3">
      <c r="A3" s="4" t="inlineStr">
        <is>
          <t>1.500-3.000</t>
        </is>
      </c>
      <c r="B3" s="4" t="n">
        <v>1</v>
      </c>
      <c r="C3" s="4" t="n">
        <v>4663.131</v>
      </c>
      <c r="D3" s="4" t="n">
        <v>12590.453</v>
      </c>
      <c r="E3" s="20" t="n">
        <v>1.87733515227768</v>
      </c>
      <c r="F3" s="4" t="n">
        <v>236.365</v>
      </c>
    </row>
    <row r="4">
      <c r="A4" s="14" t="inlineStr">
        <is>
          <t>1.500-3.000</t>
        </is>
      </c>
      <c r="B4" s="4" t="n">
        <v>2</v>
      </c>
      <c r="C4" s="14" t="n">
        <v>775.776</v>
      </c>
      <c r="D4" s="14" t="n">
        <v>2094.596</v>
      </c>
      <c r="E4" s="21" t="n">
        <v>1.547</v>
      </c>
      <c r="F4" s="14" t="n">
        <v>32.396</v>
      </c>
    </row>
    <row r="5">
      <c r="A5" s="14" t="inlineStr">
        <is>
          <t>1.500-3.000</t>
        </is>
      </c>
      <c r="B5" s="4" t="n">
        <v>3</v>
      </c>
      <c r="C5" s="14" t="n">
        <v>549.391</v>
      </c>
      <c r="D5" s="14" t="n">
        <v>1483.356</v>
      </c>
      <c r="E5" s="21" t="n">
        <v>1.825</v>
      </c>
      <c r="F5" s="14" t="n">
        <v>27.071</v>
      </c>
    </row>
    <row r="6">
      <c r="A6" s="4" t="inlineStr">
        <is>
          <t>小计</t>
        </is>
      </c>
      <c r="B6" s="4" t="n"/>
      <c r="C6" s="4">
        <f>SUM(C3:C5)</f>
        <v/>
      </c>
      <c r="D6" s="4">
        <f>SUM(D3:D5)</f>
        <v/>
      </c>
      <c r="E6" s="20">
        <f>F6/D6*100</f>
        <v/>
      </c>
      <c r="F6" s="4">
        <f>SUM(F3:F5)</f>
        <v/>
      </c>
    </row>
    <row r="7">
      <c r="A7" s="14" t="inlineStr">
        <is>
          <t>1.000-1.500</t>
        </is>
      </c>
      <c r="B7" s="14" t="n">
        <v>4</v>
      </c>
      <c r="C7" s="14" t="n">
        <v>3026.228</v>
      </c>
      <c r="D7" s="14" t="n">
        <v>8170.816</v>
      </c>
      <c r="E7" s="21" t="n">
        <v>1.316</v>
      </c>
      <c r="F7" s="14" t="n">
        <v>107.538</v>
      </c>
    </row>
    <row r="8">
      <c r="A8" s="14" t="inlineStr">
        <is>
          <t>1.000-1.500</t>
        </is>
      </c>
      <c r="B8" s="14" t="n">
        <v>5</v>
      </c>
      <c r="C8" s="14" t="n">
        <v>758.8440000000001</v>
      </c>
      <c r="D8" s="14" t="n">
        <v>2048.878</v>
      </c>
      <c r="E8" s="21" t="n">
        <v>1.215</v>
      </c>
      <c r="F8" s="14" t="n">
        <v>24.889</v>
      </c>
    </row>
    <row r="9">
      <c r="A9" s="14" t="inlineStr">
        <is>
          <t>1.000-1.500</t>
        </is>
      </c>
      <c r="B9" s="14" t="n">
        <v>6</v>
      </c>
      <c r="C9" s="4" t="n">
        <v>3281.495</v>
      </c>
      <c r="D9" s="4" t="n">
        <v>8860.038</v>
      </c>
      <c r="E9" s="20" t="n">
        <v>1.23339200125327</v>
      </c>
      <c r="F9" s="4" t="n">
        <v>109.279</v>
      </c>
    </row>
    <row r="10">
      <c r="A10" s="14" t="inlineStr">
        <is>
          <t>小计</t>
        </is>
      </c>
      <c r="B10" s="4" t="n"/>
      <c r="C10" s="4">
        <f>SUM(C7:C9)</f>
        <v/>
      </c>
      <c r="D10" s="4">
        <f>SUM(D7:D9)</f>
        <v/>
      </c>
      <c r="E10" s="20">
        <f>F10/D10*100</f>
        <v/>
      </c>
      <c r="F10" s="4">
        <f>SUM(F7:F9)</f>
        <v/>
      </c>
    </row>
    <row r="11">
      <c r="A11" s="14" t="inlineStr">
        <is>
          <t>0.500-1.000</t>
        </is>
      </c>
      <c r="B11" s="14" t="n">
        <v>7</v>
      </c>
      <c r="C11" s="14" t="n">
        <v>442.451</v>
      </c>
      <c r="D11" s="14" t="n">
        <v>1194.619</v>
      </c>
      <c r="E11" s="21" t="n">
        <v>0.61</v>
      </c>
      <c r="F11" s="14" t="n">
        <v>7.287</v>
      </c>
    </row>
    <row r="12">
      <c r="A12" s="14" t="inlineStr">
        <is>
          <t>小计</t>
        </is>
      </c>
      <c r="B12" s="8" t="n"/>
      <c r="C12" s="14" t="n">
        <v>442.451</v>
      </c>
      <c r="D12" s="14" t="n">
        <v>1194.619</v>
      </c>
      <c r="E12" s="22" t="n"/>
      <c r="F12" s="14" t="n">
        <v>7.287</v>
      </c>
    </row>
    <row r="13">
      <c r="A13" s="4" t="inlineStr">
        <is>
          <t>合计</t>
        </is>
      </c>
      <c r="B13" s="4" t="n"/>
      <c r="C13" s="4">
        <f>C6+C10+C12</f>
        <v/>
      </c>
      <c r="D13" s="4">
        <f>D6+D10+D12</f>
        <v/>
      </c>
      <c r="E13" s="20">
        <f>F13/D13*100</f>
        <v/>
      </c>
      <c r="F13" s="4">
        <f>F6+F10+F12</f>
        <v/>
      </c>
    </row>
    <row r="14">
      <c r="A14" s="10" t="n"/>
      <c r="B14" s="10" t="n"/>
      <c r="C14" s="10" t="n"/>
      <c r="D14" s="10" t="n"/>
      <c r="E14" s="23" t="n"/>
      <c r="F14" s="10" t="n"/>
    </row>
    <row r="15">
      <c r="A15" s="1" t="inlineStr">
        <is>
          <t>3940平台 0922炮孔数据报告</t>
        </is>
      </c>
      <c r="B15" s="18" t="n"/>
      <c r="C15" s="18" t="n"/>
      <c r="D15" s="18" t="n"/>
      <c r="E15" s="18" t="n"/>
      <c r="F15" s="19" t="n"/>
    </row>
    <row r="16">
      <c r="A16" s="14" t="inlineStr">
        <is>
          <t>类型</t>
        </is>
      </c>
      <c r="B16" s="14" t="inlineStr">
        <is>
          <t>体号</t>
        </is>
      </c>
      <c r="C16" s="14" t="inlineStr">
        <is>
          <t>体积</t>
        </is>
      </c>
      <c r="D16" s="14" t="inlineStr">
        <is>
          <t>重量</t>
        </is>
      </c>
      <c r="E16" s="14" t="inlineStr">
        <is>
          <t>平均品位(Au)</t>
        </is>
      </c>
      <c r="F16" s="4" t="inlineStr">
        <is>
          <t>金属量（百克）</t>
        </is>
      </c>
    </row>
    <row r="17">
      <c r="A17" s="14" t="inlineStr">
        <is>
          <t>1.500-3.000</t>
        </is>
      </c>
      <c r="B17" s="14" t="n">
        <v>1</v>
      </c>
      <c r="C17" s="14" t="n">
        <v>1795.588</v>
      </c>
      <c r="D17" s="14" t="n">
        <v>4848.086</v>
      </c>
      <c r="E17" s="14" t="n">
        <v>1.727</v>
      </c>
      <c r="F17" s="14" t="n">
        <v>83.70999999999999</v>
      </c>
    </row>
    <row r="18">
      <c r="A18" s="14" t="inlineStr">
        <is>
          <t>1.000-1.500</t>
        </is>
      </c>
      <c r="B18" s="14" t="n">
        <v>2</v>
      </c>
      <c r="C18" s="14" t="n">
        <v>1035.964</v>
      </c>
      <c r="D18" s="14" t="n">
        <v>2797.103</v>
      </c>
      <c r="E18" s="14" t="n">
        <v>1.333</v>
      </c>
      <c r="F18" s="14" t="n">
        <v>37.281</v>
      </c>
    </row>
    <row r="19">
      <c r="A19" s="14" t="inlineStr">
        <is>
          <t>0.500-1.000</t>
        </is>
      </c>
      <c r="B19" s="14" t="n">
        <v>3</v>
      </c>
      <c r="C19" s="14" t="n">
        <v>740.489</v>
      </c>
      <c r="D19" s="14" t="n">
        <v>1999.32</v>
      </c>
      <c r="E19" s="14" t="n">
        <v>0.695</v>
      </c>
      <c r="F19" s="14" t="n">
        <v>13.895</v>
      </c>
    </row>
    <row r="20">
      <c r="A20" s="14" t="inlineStr">
        <is>
          <t>0.500-1.000</t>
        </is>
      </c>
      <c r="B20" s="14" t="n">
        <v>4</v>
      </c>
      <c r="C20" s="14" t="n">
        <v>3503.238</v>
      </c>
      <c r="D20" s="14" t="n">
        <v>9458.743</v>
      </c>
      <c r="E20" s="14" t="n">
        <v>0.824</v>
      </c>
      <c r="F20" s="14" t="n">
        <v>77.914</v>
      </c>
    </row>
    <row r="21">
      <c r="A21" s="4" t="inlineStr">
        <is>
          <t>合计</t>
        </is>
      </c>
      <c r="B21" s="15" t="n"/>
      <c r="C21" s="15">
        <f>SUM(C17:C20)</f>
        <v/>
      </c>
      <c r="D21" s="15">
        <f>SUM(D17:D20)</f>
        <v/>
      </c>
      <c r="E21" s="24">
        <f>F21/D21*100</f>
        <v/>
      </c>
      <c r="F21" s="15">
        <f>SUM(F17:F20)</f>
        <v/>
      </c>
    </row>
    <row r="23">
      <c r="A23" s="25" t="inlineStr">
        <is>
          <t>3940平台 1008炮孔数据报告</t>
        </is>
      </c>
      <c r="B23" s="18" t="n"/>
      <c r="C23" s="18" t="n"/>
      <c r="D23" s="18" t="n"/>
      <c r="E23" s="18" t="n"/>
      <c r="F23" s="19" t="n"/>
    </row>
    <row r="24">
      <c r="A24" s="26" t="inlineStr">
        <is>
          <t>类型</t>
        </is>
      </c>
      <c r="B24" s="26" t="inlineStr">
        <is>
          <t>体号</t>
        </is>
      </c>
      <c r="C24" s="26" t="inlineStr">
        <is>
          <t>体积</t>
        </is>
      </c>
      <c r="D24" s="26" t="inlineStr">
        <is>
          <t>重量</t>
        </is>
      </c>
      <c r="E24" s="27" t="inlineStr">
        <is>
          <t>平均品位(Au)</t>
        </is>
      </c>
      <c r="F24" s="4" t="inlineStr">
        <is>
          <t>金属量（百克）</t>
        </is>
      </c>
    </row>
    <row r="25">
      <c r="A25" s="28" t="inlineStr">
        <is>
          <t>0.500-1.000</t>
        </is>
      </c>
      <c r="B25" s="28" t="n">
        <v>1</v>
      </c>
      <c r="C25" s="28" t="n">
        <v>714.095</v>
      </c>
      <c r="D25" s="28" t="n">
        <v>1928.056</v>
      </c>
      <c r="E25" s="29" t="n">
        <v>0.68</v>
      </c>
      <c r="F25" s="28" t="n">
        <v>13.111</v>
      </c>
    </row>
    <row r="26">
      <c r="A26" s="28" t="inlineStr">
        <is>
          <t>0.500-1.000</t>
        </is>
      </c>
      <c r="B26" s="28" t="n">
        <v>2</v>
      </c>
      <c r="C26" s="28" t="n">
        <v>1327.522</v>
      </c>
      <c r="D26" s="28" t="n">
        <v>3584.311</v>
      </c>
      <c r="E26" s="29" t="n">
        <v>0.729</v>
      </c>
      <c r="F26" s="28" t="n">
        <v>26.134</v>
      </c>
    </row>
    <row r="27">
      <c r="A27" s="28" t="inlineStr">
        <is>
          <t>小计</t>
        </is>
      </c>
      <c r="C27" s="28">
        <f>C25+C26</f>
        <v/>
      </c>
      <c r="D27" s="28">
        <f>D25+D26</f>
        <v/>
      </c>
      <c r="E27" s="29">
        <f>F27/D27*100</f>
        <v/>
      </c>
      <c r="F27" s="28">
        <f>F25+F26</f>
        <v/>
      </c>
    </row>
    <row r="28">
      <c r="A28" s="28" t="inlineStr">
        <is>
          <t>1.000-1.500</t>
        </is>
      </c>
      <c r="B28" s="28" t="n">
        <v>3</v>
      </c>
      <c r="C28" s="28" t="n">
        <v>1909.877</v>
      </c>
      <c r="D28" s="28" t="n">
        <v>5156.668</v>
      </c>
      <c r="E28" s="29" t="n">
        <v>1.204</v>
      </c>
      <c r="F28" s="28" t="n">
        <v>62.104</v>
      </c>
    </row>
    <row r="29">
      <c r="A29" s="28" t="inlineStr">
        <is>
          <t>小计</t>
        </is>
      </c>
      <c r="C29" s="28" t="n">
        <v>1909.877</v>
      </c>
      <c r="D29" s="28" t="n">
        <v>5156.668</v>
      </c>
      <c r="E29" s="29" t="n">
        <v>1.204</v>
      </c>
      <c r="F29" s="28" t="n">
        <v>62.104</v>
      </c>
    </row>
    <row r="30">
      <c r="A30" s="28" t="inlineStr">
        <is>
          <t>合计</t>
        </is>
      </c>
      <c r="C30" s="28">
        <f>C27+C29</f>
        <v/>
      </c>
      <c r="D30" s="28">
        <f>D27+D29</f>
        <v/>
      </c>
      <c r="E30" s="29">
        <f>F30/D30*100</f>
        <v/>
      </c>
      <c r="F30" s="28">
        <f>F27+F29</f>
        <v/>
      </c>
    </row>
  </sheetData>
  <mergeCells count="3">
    <mergeCell ref="A1:F1"/>
    <mergeCell ref="A23:F23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天亮 杨</dc:creator>
  <dcterms:created xmlns:dcterms="http://purl.org/dc/terms/" xmlns:xsi="http://www.w3.org/2001/XMLSchema-instance" xsi:type="dcterms:W3CDTF">2026-07-12T05:13:00Z</dcterms:created>
  <dcterms:modified xmlns:dcterms="http://purl.org/dc/terms/" xmlns:xsi="http://www.w3.org/2001/XMLSchema-instance" xsi:type="dcterms:W3CDTF">2026-10-15T13:07:21Z</dcterms:modified>
  <cp:lastModifiedBy>韩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A3C44155766C4B99934371DC24BCCABE_12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