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2026地质生产数据\北部山头2026\北部山头3940平台2026\7、单日数据\北部山头3940平台-1003\"/>
    </mc:Choice>
  </mc:AlternateContent>
  <xr:revisionPtr revIDLastSave="0" documentId="13_ncr:1_{60A31AE4-D782-4244-B665-3D0FC77E2B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F7" i="1"/>
  <c r="E7" i="1" s="1"/>
  <c r="C7" i="1"/>
</calcChain>
</file>

<file path=xl/sharedStrings.xml><?xml version="1.0" encoding="utf-8"?>
<sst xmlns="http://schemas.openxmlformats.org/spreadsheetml/2006/main" count="12" uniqueCount="11">
  <si>
    <t>类型</t>
  </si>
  <si>
    <t>体号</t>
  </si>
  <si>
    <t>体积</t>
  </si>
  <si>
    <t>重量</t>
  </si>
  <si>
    <t>平均品位(Au)</t>
  </si>
  <si>
    <t>金属量（百克）</t>
  </si>
  <si>
    <t>1.500-3.000</t>
  </si>
  <si>
    <t>1.000-1.500</t>
    <phoneticPr fontId="5" type="noConversion"/>
  </si>
  <si>
    <t>合计</t>
    <phoneticPr fontId="5" type="noConversion"/>
  </si>
  <si>
    <t>小计</t>
    <phoneticPr fontId="5" type="noConversion"/>
  </si>
  <si>
    <t>3940平台 1003炮孔数据报告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</si>
</sst>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>
      <alignment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2">
    <cellStyle name="常规" xfId="0" builtinId="0"/>
    <cellStyle name="常规 2" xfId="1" xr:uid="{87B3DC8D-AE58-4296-981C-376E155953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sqref="A1:F7"/>
    </sheetView>
  </sheetViews>
  <sheetFormatPr defaultColWidth="18.5546875" defaultRowHeight="13.8" x14ac:dyDescent="0.25"/>
  <cols>
    <col min="1" max="4" width="18.5546875" style="1"/>
    <col min="5" max="5" width="18.5546875" style="2"/>
    <col min="6" max="6" width="18.5546875" style="1"/>
  </cols>
  <sheetData>
    <row r="1" spans="1:8" x14ac:dyDescent="0.25">
      <c r="A1" s="13" t="s">
        <v>10</v>
      </c>
      <c r="B1" s="14"/>
      <c r="C1" s="14"/>
      <c r="D1" s="14"/>
      <c r="E1" s="15"/>
      <c r="F1" s="14"/>
    </row>
    <row r="2" spans="1:8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r="3" spans="1:8" x14ac:dyDescent="0.25">
      <c r="A3" s="3" t="s">
        <v>6</v>
      </c>
      <c r="B3" s="3">
        <v>1</v>
      </c>
      <c r="C3" s="3">
        <v>6987.8009999999986</v>
      </c>
      <c r="D3" s="3">
        <v>18867.064000000002</v>
      </c>
      <c r="E3" s="4">
        <v>1.9865465024128823</v>
      </c>
      <c r="F3" s="3">
        <v>374.80300000000005</v>
      </c>
    </row>
    <row r="4" spans="1:8" x14ac:dyDescent="0.25">
      <c r="A4" s="12" t="s">
        <v>9</v>
      </c>
      <c r="B4" s="3"/>
      <c r="C4" s="3">
        <v>6987.8009999999986</v>
      </c>
      <c r="D4" s="3">
        <v>18867.064000000002</v>
      </c>
      <c r="E4" s="4">
        <v>1.9865465024128823</v>
      </c>
      <c r="F4" s="3">
        <v>374.80300000000005</v>
      </c>
    </row>
    <row r="5" spans="1:8" x14ac:dyDescent="0.25">
      <c r="A5" s="10" t="s">
        <v>7</v>
      </c>
      <c r="B5" s="10">
        <v>2</v>
      </c>
      <c r="C5" s="10">
        <v>2447.23</v>
      </c>
      <c r="D5" s="10">
        <v>6607.5219999999999</v>
      </c>
      <c r="E5" s="10">
        <v>1.0910292845033283</v>
      </c>
      <c r="F5" s="10">
        <v>72.09</v>
      </c>
    </row>
    <row r="6" spans="1:8" x14ac:dyDescent="0.25">
      <c r="A6" s="10" t="s">
        <v>9</v>
      </c>
      <c r="B6" s="10"/>
      <c r="C6" s="10">
        <v>2447.23</v>
      </c>
      <c r="D6" s="10">
        <v>6607.5219999999999</v>
      </c>
      <c r="E6" s="10">
        <v>1.0910292845033283</v>
      </c>
      <c r="F6" s="10">
        <v>72.09</v>
      </c>
    </row>
    <row r="7" spans="1:8" x14ac:dyDescent="0.25">
      <c r="A7" s="10" t="s">
        <v>8</v>
      </c>
      <c r="B7" s="11"/>
      <c r="C7" s="10">
        <f>C3+C5</f>
        <v>9435.030999999999</v>
      </c>
      <c r="D7" s="10">
        <f>D3+D5</f>
        <v>25474.586000000003</v>
      </c>
      <c r="E7" s="10">
        <f>F7/D7*100</f>
        <v>1.7542699221883329</v>
      </c>
      <c r="F7" s="10">
        <f>F3+F5</f>
        <v>446.89300000000003</v>
      </c>
    </row>
    <row r="8" spans="1:8" x14ac:dyDescent="0.25">
      <c r="G8" s="9"/>
      <c r="H8" s="9"/>
    </row>
    <row r="9" spans="1:8" x14ac:dyDescent="0.25">
      <c r="A9" s="7"/>
      <c r="B9" s="7"/>
      <c r="C9" s="7"/>
      <c r="D9" s="7"/>
      <c r="E9" s="8"/>
      <c r="F9" s="7"/>
      <c r="G9" s="9"/>
      <c r="H9" s="9"/>
    </row>
    <row r="10" spans="1:8" x14ac:dyDescent="0.25">
      <c r="A10" s="7"/>
      <c r="B10" s="7"/>
      <c r="C10" s="7"/>
      <c r="D10" s="7"/>
      <c r="E10" s="8"/>
      <c r="F10" s="7"/>
      <c r="G10" s="9"/>
      <c r="H10" s="9"/>
    </row>
    <row r="11" spans="1:8" x14ac:dyDescent="0.25">
      <c r="A11" s="7"/>
      <c r="B11" s="7"/>
      <c r="C11" s="7"/>
      <c r="D11" s="7"/>
      <c r="E11" s="8"/>
      <c r="F11" s="7"/>
    </row>
    <row r="12" spans="1:8" x14ac:dyDescent="0.25">
      <c r="A12" s="7"/>
      <c r="B12" s="7"/>
      <c r="C12" s="7"/>
      <c r="D12" s="7"/>
      <c r="E12" s="8"/>
      <c r="F12" s="7"/>
    </row>
    <row r="13" spans="1:8" x14ac:dyDescent="0.25">
      <c r="B13" s="7"/>
    </row>
    <row r="14" spans="1:8" x14ac:dyDescent="0.25">
      <c r="A14" s="7"/>
      <c r="B14" s="7"/>
      <c r="C14" s="7"/>
      <c r="D14" s="7"/>
      <c r="E14" s="8"/>
      <c r="F14" s="7"/>
    </row>
    <row r="15" spans="1:8" x14ac:dyDescent="0.25">
      <c r="A15" s="7"/>
      <c r="B15" s="7"/>
      <c r="C15" s="7"/>
      <c r="D15" s="7"/>
      <c r="E15" s="8"/>
      <c r="F15" s="7"/>
    </row>
    <row r="16" spans="1:8" x14ac:dyDescent="0.25">
      <c r="B16" s="7"/>
    </row>
  </sheetData>
  <mergeCells count="1">
    <mergeCell ref="A1:F1"/>
  </mergeCells>
  <phoneticPr fontId="5" type="noConversion"/>
  <pageMargins left="0.7" right="0.7" top="0.75" bottom="0.75" header="0.3" footer="0.3"/>
  <ignoredErrors>
    <ignoredError sqref="A9:F16 G11:H20 G7:H9 G1:H3 G5:H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Bit Hiley</cp:lastModifiedBy>
  <dcterms:created xsi:type="dcterms:W3CDTF">2026-07-20T03:06:00Z</dcterms:created>
  <dcterms:modified xsi:type="dcterms:W3CDTF">2026-10-05T04:12:31Z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