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2026地质生产数据\北部山头2026\北部山头3940平台2026\7、单日数据\北部山头3940平台-1004\"/>
    </mc:Choice>
  </mc:AlternateContent>
  <xr:revisionPtr revIDLastSave="0" documentId="13_ncr:1_{250E5F9B-592D-4691-BB97-8978053B313B}" xr6:coauthVersionLast="47" xr6:coauthVersionMax="47" xr10:uidLastSave="{00000000-0000-0000-0000-000000000000}"/>
  <bookViews>
    <workbookView xWindow="2772" yWindow="3204" windowWidth="17280" windowHeight="943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D9" i="1"/>
  <c r="F9" i="1"/>
  <c r="C9" i="1"/>
</calcChain>
</file>

<file path=xl/sharedStrings.xml><?xml version="1.0" encoding="utf-8"?>
<sst xmlns="http://schemas.openxmlformats.org/spreadsheetml/2006/main" count="14" uniqueCount="11">
  <si>
    <t>类型</t>
  </si>
  <si>
    <t>体号</t>
  </si>
  <si>
    <t>体积</t>
  </si>
  <si>
    <t>重量</t>
  </si>
  <si>
    <t>平均品位(Au)</t>
  </si>
  <si>
    <t>金属量（百克）</t>
  </si>
  <si>
    <t>1.500-3.000</t>
  </si>
  <si>
    <t>合计</t>
    <phoneticPr fontId="6" type="noConversion"/>
  </si>
  <si>
    <t>小计</t>
    <phoneticPr fontId="6" type="noConversion"/>
  </si>
  <si>
    <t>3940平台 1004炮孔数据报告</t>
    <phoneticPr fontId="6" type="noConversion"/>
  </si>
  <si>
    <t>0.500-1.000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</si>
</sst>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1" fillId="0" borderId="1" xfId="2" applyBorder="1" applyAlignment="1">
      <alignment horizontal="center" vertical="center"/>
    </xf>
    <xf numFmtId="0" fontId="1" fillId="0" borderId="0" xfId="2" applyBorder="1" applyAlignment="1">
      <alignment horizontal="center" vertical="center"/>
    </xf>
    <xf numFmtId="0" fontId="1" fillId="0" borderId="0" xfId="2" applyAlignment="1">
      <alignment horizontal="center" vertical="center"/>
    </xf>
  </cellXfs>
  <cellStyles count="3">
    <cellStyle name="常规" xfId="0" builtinId="0"/>
    <cellStyle name="常规 2" xfId="1" xr:uid="{87B3DC8D-AE58-4296-981C-376E155953A1}"/>
    <cellStyle name="常规 3" xfId="2" xr:uid="{9C8E2409-B83F-4B25-BA1B-671D2B8DC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E12" sqref="E12"/>
    </sheetView>
  </sheetViews>
  <sheetFormatPr defaultColWidth="18.5546875" defaultRowHeight="13.8" x14ac:dyDescent="0.25"/>
  <cols>
    <col min="1" max="4" width="18.5546875" style="1"/>
    <col min="5" max="5" width="18.5546875" style="2"/>
    <col min="6" max="16384" width="18.5546875" style="1"/>
  </cols>
  <sheetData>
    <row r="1" spans="1:8" x14ac:dyDescent="0.25">
      <c r="A1" s="11" t="s">
        <v>9</v>
      </c>
      <c r="B1" s="12"/>
      <c r="C1" s="12"/>
      <c r="D1" s="12"/>
      <c r="E1" s="13"/>
      <c r="F1" s="12"/>
    </row>
    <row r="2" spans="1:8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</row>
    <row r="3" spans="1:8" x14ac:dyDescent="0.25">
      <c r="A3" s="14" t="s">
        <v>6</v>
      </c>
      <c r="B3" s="14">
        <v>1</v>
      </c>
      <c r="C3" s="14">
        <v>904.77700000000004</v>
      </c>
      <c r="D3" s="14">
        <v>2442.8980000000001</v>
      </c>
      <c r="E3" s="14">
        <v>1.5449999999999999</v>
      </c>
      <c r="F3" s="14">
        <v>37.743000000000002</v>
      </c>
    </row>
    <row r="4" spans="1:8" x14ac:dyDescent="0.25">
      <c r="A4" s="10" t="s">
        <v>8</v>
      </c>
      <c r="B4" s="3"/>
      <c r="C4" s="14">
        <v>904.77700000000004</v>
      </c>
      <c r="D4" s="14">
        <v>2442.8980000000001</v>
      </c>
      <c r="E4" s="14">
        <v>1.5449999999999999</v>
      </c>
      <c r="F4" s="14">
        <v>37.743000000000002</v>
      </c>
    </row>
    <row r="5" spans="1:8" x14ac:dyDescent="0.25">
      <c r="A5" s="14" t="s">
        <v>10</v>
      </c>
      <c r="B5" s="5">
        <v>2</v>
      </c>
      <c r="C5" s="14">
        <v>7799.4470000000001</v>
      </c>
      <c r="D5" s="14">
        <v>20937.817999999999</v>
      </c>
      <c r="E5" s="14">
        <v>0.69186292478041411</v>
      </c>
      <c r="F5" s="14">
        <v>144.86099999999999</v>
      </c>
      <c r="G5" s="15"/>
    </row>
    <row r="6" spans="1:8" x14ac:dyDescent="0.25">
      <c r="A6" s="10" t="s">
        <v>8</v>
      </c>
      <c r="B6" s="3"/>
      <c r="C6" s="14">
        <v>7799.4470000000001</v>
      </c>
      <c r="D6" s="14">
        <v>20937.817999999999</v>
      </c>
      <c r="E6" s="14">
        <v>0.69186292478041411</v>
      </c>
      <c r="F6" s="14">
        <v>144.86099999999999</v>
      </c>
    </row>
    <row r="7" spans="1:8" x14ac:dyDescent="0.25">
      <c r="A7" s="16" t="s">
        <v>6</v>
      </c>
      <c r="B7" s="9">
        <v>3</v>
      </c>
      <c r="C7" s="14">
        <v>1142.1390000000001</v>
      </c>
      <c r="D7" s="14">
        <v>3083.777</v>
      </c>
      <c r="E7" s="14">
        <v>1.8479611204052691</v>
      </c>
      <c r="F7" s="14">
        <v>56.986999999999995</v>
      </c>
    </row>
    <row r="8" spans="1:8" x14ac:dyDescent="0.25">
      <c r="A8" s="9" t="s">
        <v>8</v>
      </c>
      <c r="B8" s="9"/>
      <c r="C8" s="14">
        <v>1142.1390000000001</v>
      </c>
      <c r="D8" s="14">
        <v>3083.777</v>
      </c>
      <c r="E8" s="14">
        <v>1.8479611204052691</v>
      </c>
      <c r="F8" s="14">
        <v>56.986999999999995</v>
      </c>
    </row>
    <row r="9" spans="1:8" x14ac:dyDescent="0.25">
      <c r="A9" s="9" t="s">
        <v>7</v>
      </c>
      <c r="B9" s="9"/>
      <c r="C9" s="9">
        <f>C4+C6+C8</f>
        <v>9846.3630000000012</v>
      </c>
      <c r="D9" s="9">
        <f t="shared" ref="D9:F9" si="0">D4+D6+D8</f>
        <v>26464.493000000002</v>
      </c>
      <c r="E9" s="9">
        <f>F9/D9*100</f>
        <v>0.90533002086984982</v>
      </c>
      <c r="F9" s="9">
        <f t="shared" si="0"/>
        <v>239.59099999999998</v>
      </c>
      <c r="G9" s="8"/>
      <c r="H9" s="8"/>
    </row>
    <row r="10" spans="1:8" x14ac:dyDescent="0.25">
      <c r="G10" s="8"/>
      <c r="H10" s="8"/>
    </row>
    <row r="11" spans="1:8" x14ac:dyDescent="0.25">
      <c r="A11" s="6"/>
      <c r="B11" s="6"/>
      <c r="C11" s="6"/>
      <c r="D11" s="6"/>
      <c r="E11" s="7"/>
      <c r="F11" s="6"/>
      <c r="G11" s="8"/>
      <c r="H11" s="8"/>
    </row>
    <row r="12" spans="1:8" x14ac:dyDescent="0.25">
      <c r="A12" s="6"/>
      <c r="B12" s="6"/>
      <c r="C12" s="6"/>
      <c r="D12" s="6"/>
      <c r="E12" s="7"/>
      <c r="F12" s="6"/>
    </row>
    <row r="13" spans="1:8" x14ac:dyDescent="0.25">
      <c r="A13" s="6"/>
      <c r="B13" s="6"/>
      <c r="C13" s="6"/>
      <c r="D13" s="6"/>
      <c r="E13" s="7"/>
      <c r="F13" s="6"/>
    </row>
    <row r="14" spans="1:8" x14ac:dyDescent="0.25">
      <c r="A14" s="6"/>
      <c r="B14" s="6"/>
      <c r="C14" s="6"/>
      <c r="D14" s="6"/>
      <c r="E14" s="7"/>
      <c r="F14" s="6"/>
    </row>
    <row r="15" spans="1:8" x14ac:dyDescent="0.25">
      <c r="B15" s="6"/>
    </row>
    <row r="16" spans="1:8" x14ac:dyDescent="0.25">
      <c r="A16" s="6"/>
      <c r="B16" s="6"/>
      <c r="C16" s="6"/>
      <c r="D16" s="6"/>
      <c r="E16" s="7"/>
      <c r="F16" s="6"/>
    </row>
    <row r="17" spans="1:6" x14ac:dyDescent="0.25">
      <c r="A17" s="6"/>
      <c r="B17" s="6"/>
      <c r="C17" s="6"/>
      <c r="D17" s="6"/>
      <c r="E17" s="7"/>
      <c r="F17" s="6"/>
    </row>
    <row r="18" spans="1:6" x14ac:dyDescent="0.25">
      <c r="B18" s="6"/>
    </row>
  </sheetData>
  <mergeCells count="1">
    <mergeCell ref="A1:F1"/>
  </mergeCells>
  <phoneticPr fontId="6" type="noConversion"/>
  <pageMargins left="0.7" right="0.7" top="0.75" bottom="0.75" header="0.3" footer="0.3"/>
  <ignoredErrors>
    <ignoredError sqref="A11:F18 G12:H21 G8:H10 G1:H3 G6:H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天亮 杨</dc:creator>
  <cp:lastModifiedBy>Bit Hiley</cp:lastModifiedBy>
  <dcterms:created xsi:type="dcterms:W3CDTF">2026-07-20T03:06:00Z</dcterms:created>
  <dcterms:modified xsi:type="dcterms:W3CDTF">2026-10-05T09:29:33Z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A8FE51D5CA9A4DCA87E9ED4BB2991144_12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