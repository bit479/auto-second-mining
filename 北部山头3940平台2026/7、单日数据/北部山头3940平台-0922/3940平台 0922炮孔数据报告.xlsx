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B:\2026年采矿厂工作\采矿厂\2026地质生产数据\北部山头2026\北部山头3940平台2026\7、单日数据\北部山头3940平台-0922\"/>
    </mc:Choice>
  </mc:AlternateContent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<sst xmlns="http://schemas.openxmlformats.org/spreadsheetml/2006/main" count="12" uniqueCount="11">
  <si>
    <t>3940平台 0922炮孔数据报告</t>
  </si>
  <si>
    <t>类型</t>
  </si>
  <si>
    <t>体号</t>
  </si>
  <si>
    <t>体积</t>
  </si>
  <si>
    <t>重量</t>
  </si>
  <si>
    <t>平均品位(Au)</t>
  </si>
  <si>
    <t>金属量（百克）</t>
  </si>
  <si>
    <t>1.500-3.000</t>
  </si>
  <si>
    <t>1.000-1.500</t>
  </si>
  <si>
    <t>0.500-1.000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</si>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</sst>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2">
    <font>
      <sz val="11"/>
      <color theme="1"/>
      <name val="等线"/>
      <charset val="134"/>
      <scheme val="minor"/>
    </font>
    <font>
      <b/>
      <sz val="10"/>
      <color theme="1"/>
      <name val="等线"/>
      <charset val="134"/>
      <scheme val="minor"/>
    </font>
    <font>
      <sz val="11"/>
      <color rgb="FF000000"/>
      <name val="等线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3" borderId="5">
      <alignment vertical="center"/>
    </xf>
    <xf numFmtId="0" fontId="12" fillId="4" borderId="6">
      <alignment vertical="center"/>
    </xf>
    <xf numFmtId="0" fontId="13" fillId="4" borderId="5">
      <alignment vertical="center"/>
    </xf>
    <xf numFmtId="0" fontId="14" fillId="5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14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176" fontId="0" fillId="0" borderId="1" xfId="0" applyNumberForma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176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176" fontId="0" fillId="0" borderId="0" xfId="0" applyNumberFormat="1" applyAlignment="1">
      <alignment horizontal="center"/>
    </xf>
    <xf numFmtId="0" fontId="2" fillId="0" borderId="0" xfId="0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"/>
  <sheetViews>
    <sheetView tabSelected="1" workbookViewId="0">
      <selection activeCell="H6" sqref="H6"/>
    </sheetView>
  </sheetViews>
  <sheetFormatPr defaultColWidth="18.5833333333333" defaultRowHeight="13.8" outlineLevelCol="7"/>
  <cols>
    <col min="1" max="4" width="18.5833333333333" style="1"/>
    <col min="5" max="5" width="18.5833333333333" style="2"/>
    <col min="6" max="6" width="18.5833333333333" style="1"/>
  </cols>
  <sheetData>
    <row r="1" spans="1:8">
      <c r="A1" s="3" t="s">
        <v>0</v>
      </c>
      <c r="B1" s="4"/>
      <c r="C1" s="4"/>
      <c r="D1" s="4"/>
      <c r="E1" s="5"/>
      <c r="F1" s="4"/>
    </row>
    <row r="2" spans="1:8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</row>
    <row r="3" spans="1:8">
      <c r="A3" s="6" t="s">
        <v>7</v>
      </c>
      <c r="B3" s="6">
        <v>1</v>
      </c>
      <c r="C3" s="6">
        <v>1795.588</v>
      </c>
      <c r="D3" s="6">
        <v>4848.086</v>
      </c>
      <c r="E3" s="6">
        <v>1.727</v>
      </c>
      <c r="F3" s="6">
        <v>83.71</v>
      </c>
    </row>
    <row r="4" spans="1:8">
      <c r="A4" s="6" t="s">
        <v>8</v>
      </c>
      <c r="B4" s="6">
        <v>2</v>
      </c>
      <c r="C4" s="6">
        <v>1035.964</v>
      </c>
      <c r="D4" s="6">
        <v>2797.103</v>
      </c>
      <c r="E4" s="6">
        <v>1.333</v>
      </c>
      <c r="F4" s="6">
        <v>37.281</v>
      </c>
    </row>
    <row r="5" spans="1:8">
      <c r="A5" s="6" t="s">
        <v>9</v>
      </c>
      <c r="B5" s="6">
        <v>3</v>
      </c>
      <c r="C5" s="6">
        <v>740.489</v>
      </c>
      <c r="D5" s="6">
        <v>1999.32</v>
      </c>
      <c r="E5" s="6">
        <v>0.695</v>
      </c>
      <c r="F5" s="6">
        <v>13.895</v>
      </c>
    </row>
    <row r="6" spans="1:8">
      <c r="A6" s="6" t="s">
        <v>9</v>
      </c>
      <c r="B6" s="6">
        <v>4</v>
      </c>
      <c r="C6" s="6">
        <v>3503.238</v>
      </c>
      <c r="D6" s="6">
        <v>9458.743</v>
      </c>
      <c r="E6" s="6">
        <v>0.824</v>
      </c>
      <c r="F6" s="6">
        <v>77.914</v>
      </c>
    </row>
    <row r="7" spans="1:8">
      <c r="A7" s="7" t="s">
        <v>10</v>
      </c>
      <c r="B7" s="8"/>
      <c r="C7" s="8">
        <f>SUM(C3:C6)</f>
        <v>7075.279</v>
      </c>
      <c r="D7" s="8">
        <f>SUM(D3:D6)</f>
        <v>19103.252</v>
      </c>
      <c r="E7" s="9">
        <f>F7/D7*100</f>
        <v>1.11394646314669</v>
      </c>
      <c r="F7" s="8">
        <f>SUM(F3:F6)</f>
        <v>212.8</v>
      </c>
    </row>
    <row r="8" spans="1:8">
      <c r="A8" s="10"/>
      <c r="B8" s="10"/>
      <c r="C8" s="10"/>
      <c r="D8" s="10"/>
      <c r="E8" s="11"/>
      <c r="F8" s="10"/>
    </row>
    <row r="9" spans="1:8">
      <c r="A9" s="10"/>
      <c r="B9" s="10"/>
      <c r="C9" s="12"/>
      <c r="D9" s="12"/>
      <c r="E9" s="13"/>
      <c r="F9" s="12"/>
      <c r="G9" s="12"/>
      <c r="H9" s="12"/>
    </row>
    <row r="10" spans="1:8">
      <c r="A10" s="10"/>
      <c r="B10" s="10"/>
      <c r="C10" s="12"/>
      <c r="D10" s="12"/>
      <c r="E10" s="13"/>
      <c r="F10" s="12"/>
      <c r="G10" s="12"/>
      <c r="H10" s="12"/>
    </row>
    <row r="11" spans="1:8">
      <c r="A11" s="10"/>
      <c r="B11" s="10"/>
      <c r="C11" s="12"/>
      <c r="D11" s="12"/>
      <c r="E11" s="13"/>
      <c r="F11" s="12"/>
      <c r="G11" s="12"/>
      <c r="H11" s="12"/>
    </row>
    <row r="12" spans="1:8">
      <c r="A12" s="10"/>
      <c r="B12" s="10"/>
      <c r="C12" s="10"/>
      <c r="D12" s="10"/>
      <c r="E12" s="11"/>
      <c r="F12" s="10"/>
    </row>
    <row r="13" spans="1:8">
      <c r="A13" s="10"/>
      <c r="B13" s="10"/>
      <c r="C13" s="10"/>
      <c r="D13" s="10"/>
      <c r="E13" s="11"/>
      <c r="F13" s="10"/>
    </row>
    <row r="14" spans="1:8">
      <c r="A14" s="10"/>
      <c r="B14" s="10"/>
      <c r="C14" s="10"/>
      <c r="D14" s="10"/>
      <c r="E14" s="11"/>
      <c r="F14" s="10"/>
    </row>
    <row r="15" spans="1:8">
      <c r="A15" s="10"/>
      <c r="B15" s="10"/>
      <c r="C15" s="10"/>
      <c r="D15" s="10"/>
      <c r="E15" s="11"/>
      <c r="F15" s="10"/>
    </row>
    <row r="16" spans="1:8">
      <c r="A16" s="10"/>
      <c r="B16" s="10"/>
      <c r="C16" s="10"/>
      <c r="D16" s="10"/>
      <c r="E16" s="11"/>
      <c r="F16" s="10"/>
    </row>
    <row r="17" spans="1:6">
      <c r="A17" s="10"/>
      <c r="B17" s="10"/>
      <c r="C17" s="10"/>
      <c r="D17" s="10"/>
      <c r="E17" s="11"/>
      <c r="F17" s="10"/>
    </row>
    <row r="18" spans="1:6">
      <c r="B18" s="10"/>
    </row>
    <row r="19" spans="1:6">
      <c r="A19" s="10"/>
      <c r="B19" s="10"/>
      <c r="C19" s="10"/>
      <c r="D19" s="10"/>
      <c r="E19" s="11"/>
      <c r="F19" s="10"/>
    </row>
    <row r="20" spans="1:6">
      <c r="A20" s="10"/>
      <c r="B20" s="10"/>
      <c r="C20" s="10"/>
      <c r="D20" s="10"/>
      <c r="E20" s="11"/>
      <c r="F20" s="10"/>
    </row>
    <row r="21" spans="1:6">
      <c r="B21" s="10"/>
    </row>
  </sheetData>
  <mergeCells count="1">
    <mergeCell ref="A1:F1"/>
  </mergeCells>
  <pageMargins left="0.7" right="0.7" top="0.75" bottom="0.75" header="0.3" footer="0.3"/>
  <headerFooter/>
  <ignoredErrors>
    <ignoredError sqref="G1:H7 B7 A8:H21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天亮 杨</dc:creator>
  <cp:lastModifiedBy>韩</cp:lastModifiedBy>
  <dcterms:created xsi:type="dcterms:W3CDTF">2026-07-20T03:06:00Z</dcterms:created>
  <dcterms:modified xsi:type="dcterms:W3CDTF">2026-09-24T09:17:14Z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A8FE51D5CA9A4DCA87E9ED4BB2991144_12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